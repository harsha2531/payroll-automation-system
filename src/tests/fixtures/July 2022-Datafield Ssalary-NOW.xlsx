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Salary Sheet - Data Field" sheetId="2" r:id="rId5"/>
    <sheet state="visible" name="B.G.A.D.Basnayaka" sheetId="3" r:id="rId6"/>
    <sheet state="visible" name="E.A.R.H.B.Athauda" sheetId="4" r:id="rId7"/>
    <sheet state="visible" name="R.P.I.U.Rajapaksha" sheetId="5" r:id="rId8"/>
    <sheet state="visible" name="Himashi Dissanayaka" sheetId="6" r:id="rId9"/>
    <sheet state="visible" name="M.H.F.M.Haflal" sheetId="7" r:id="rId10"/>
  </sheets>
  <definedNames/>
  <calcPr/>
  <extLst>
    <ext uri="GoogleSheetsCustomDataVersion2">
      <go:sheetsCustomData xmlns:go="http://customooxmlschemas.google.com/" r:id="rId11" roundtripDataChecksum="SuWa/rDpUSgJ+5ybzNPN8wnRToRRRqLVaNia9WlJnKU="/>
    </ext>
  </extLst>
</workbook>
</file>

<file path=xl/sharedStrings.xml><?xml version="1.0" encoding="utf-8"?>
<sst xmlns="http://schemas.openxmlformats.org/spreadsheetml/2006/main" count="191" uniqueCount="77">
  <si>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</si>
  <si>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</si>
  <si>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</si>
  <si>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</si>
  <si>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Salary Sheet - Data Field</t>
  </si>
  <si>
    <t>Table 1</t>
  </si>
  <si>
    <t>STARTUP SOLUTIONS (PVT) LTD</t>
  </si>
  <si>
    <t>B.G.A.D.Basnayaka</t>
  </si>
  <si>
    <t xml:space="preserve">DATA FIELDS </t>
  </si>
  <si>
    <t>E.A.R.H.B.Athauda</t>
  </si>
  <si>
    <t>No.18, Ekwatta Road, Mirihana, Nugegoda</t>
  </si>
  <si>
    <t>R.P.I.U.Rajapaksha</t>
  </si>
  <si>
    <t>harshanimeda@gmail.com</t>
  </si>
  <si>
    <t>Himashi Dissanayaka</t>
  </si>
  <si>
    <t>M.H.F.M.Haflal</t>
  </si>
  <si>
    <t>Name :                    Mr.E.A.R.H.B.Athauda</t>
  </si>
  <si>
    <t>MONTH OF JUNE - 2022</t>
  </si>
  <si>
    <t>Designation :          Software Engineer</t>
  </si>
  <si>
    <t>ALLOWANCES</t>
  </si>
  <si>
    <t>DEDUCTION</t>
  </si>
  <si>
    <t>Contract Basis</t>
  </si>
  <si>
    <t>NO</t>
  </si>
  <si>
    <t>NAME</t>
  </si>
  <si>
    <t xml:space="preserve">BASIC </t>
  </si>
  <si>
    <t>Name :                    Ms.B.G.A.D.Basnayaka</t>
  </si>
  <si>
    <t>BUDGETARY ALLOWANCE</t>
  </si>
  <si>
    <t>EARN SALARY</t>
  </si>
  <si>
    <t>TRAVELING ALLOWANCE</t>
  </si>
  <si>
    <t>ADDITIONAL ALLOWANCE</t>
  </si>
  <si>
    <t>INFLATION ADJUSTMENT</t>
  </si>
  <si>
    <t>GROSS SALARY</t>
  </si>
  <si>
    <t>EPF 8%</t>
  </si>
  <si>
    <t>ADVANCE</t>
  </si>
  <si>
    <t>STAMP DUTY</t>
  </si>
  <si>
    <t>TOTAL</t>
  </si>
  <si>
    <t xml:space="preserve">NET SALARY </t>
  </si>
  <si>
    <t>EPF 12%</t>
  </si>
  <si>
    <t>ETF 3%</t>
  </si>
  <si>
    <t>EPF 20%</t>
  </si>
  <si>
    <t>SIGNATURE</t>
  </si>
  <si>
    <t>Rs.    Cts.</t>
  </si>
  <si>
    <t>EPF No :</t>
  </si>
  <si>
    <t>Basic Salary</t>
  </si>
  <si>
    <t>Month :             July - 2022</t>
  </si>
  <si>
    <t>Budgetary Allowance</t>
  </si>
  <si>
    <t>PERMANANT STAFF</t>
  </si>
  <si>
    <t>Travelling Allowance</t>
  </si>
  <si>
    <t>MS.B.G.ANUSHA DHARSHANI BASNAYAKA</t>
  </si>
  <si>
    <t>Inflation Adjustment</t>
  </si>
  <si>
    <t>Name :                    Mr.R.P.I.U.Rajapaksha</t>
  </si>
  <si>
    <t>Over Time</t>
  </si>
  <si>
    <t>Designation :         Software Engineer</t>
  </si>
  <si>
    <t>Less : No Pay</t>
  </si>
  <si>
    <t xml:space="preserve"> </t>
  </si>
  <si>
    <t>Gross Salary</t>
  </si>
  <si>
    <t>CONTRACT BASIS STAFF</t>
  </si>
  <si>
    <t>Deductions</t>
  </si>
  <si>
    <t>MR.E.A.R.H.B.ATHAUDA</t>
  </si>
  <si>
    <t>E.P.F. 8%</t>
  </si>
  <si>
    <t>Stamp Duty</t>
  </si>
  <si>
    <t>Total Deduction</t>
  </si>
  <si>
    <t>Net Salary</t>
  </si>
  <si>
    <t>MR.R.P.I.U.RAJAPAKSHA</t>
  </si>
  <si>
    <t>Bonus</t>
  </si>
  <si>
    <t>E.P.F. 12%</t>
  </si>
  <si>
    <t>E.T.F. 3%</t>
  </si>
  <si>
    <t>MS.HIMASHI DISSANAYAKA</t>
  </si>
  <si>
    <t>…..................</t>
  </si>
  <si>
    <t>Date</t>
  </si>
  <si>
    <t>Signature</t>
  </si>
  <si>
    <t>2022.06.25</t>
  </si>
  <si>
    <t>MR.M.H.F.M.HAFLAL</t>
  </si>
  <si>
    <t>Name :                    Ms. Himashi Dissanayaka</t>
  </si>
  <si>
    <t>Designation :          QA Engineer</t>
  </si>
  <si>
    <t>Name :                    Mr. M.H.F.Muhammed Haflal</t>
  </si>
  <si>
    <t>Designation :           Software Engineer</t>
  </si>
  <si>
    <t>Additional Allowance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</si>
</sst>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 &quot;* #,##0.00&quot; &quot;;&quot; &quot;* (#,##0.00);&quot; &quot;* &quot;-&quot;??&quot; &quot;"/>
  </numFmts>
  <fonts count="11">
    <font>
      <sz val="11.0"/>
      <color rgb="FF000000"/>
      <name val="Calibri"/>
      <scheme val="minor"/>
    </font>
    <font>
      <sz val="12.0"/>
      <color rgb="FF000000"/>
      <name val="Calibri"/>
    </font>
    <font>
      <sz val="14.0"/>
      <color rgb="FF000000"/>
      <name val="Calibri"/>
    </font>
    <font>
      <sz val="11.0"/>
      <color rgb="FF000000"/>
      <name val="Calibri"/>
    </font>
    <font>
      <b/>
      <sz val="11.0"/>
      <color rgb="FF000000"/>
      <name val="Times New Roman"/>
    </font>
    <font>
      <u/>
      <sz val="12.0"/>
      <color rgb="FF0000FF"/>
      <name val="Calibri"/>
    </font>
    <font/>
    <font>
      <b/>
      <sz val="10.0"/>
      <color rgb="FF000000"/>
      <name val="Times New Roman"/>
    </font>
    <font>
      <b/>
      <u/>
      <sz val="11.0"/>
      <color rgb="FF0563C1"/>
      <name val="Times New Roman"/>
    </font>
    <font>
      <sz val="11.0"/>
      <color rgb="FF000000"/>
      <name val="Times New Roman"/>
    </font>
    <font>
      <b/>
      <sz val="11.0"/>
      <color rgb="FF1F1F1F"/>
      <name val="Times New Roman"/>
    </font>
  </fonts>
  <fills count="6">
    <fill>
      <patternFill patternType="none"/>
    </fill>
    <fill>
      <patternFill patternType="lightGray"/>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FFFF00"/>
        <bgColor rgb="FFFFFF00"/>
      </patternFill>
    </fill>
  </fills>
  <borders count="21">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000000"/>
      </bottom>
    </border>
    <border>
      <left/>
      <right/>
      <top/>
      <bottom/>
    </border>
    <border>
      <left style="thin">
        <color rgb="FFAAAAAA"/>
      </left>
      <right style="thin">
        <color rgb="FF000000"/>
      </right>
      <top style="thin">
        <color rgb="FFAAAAAA"/>
      </top>
      <bottom style="thin">
        <color rgb="FFAAAAA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AAAAAA"/>
      </right>
      <top style="thin">
        <color rgb="FFAAAAAA"/>
      </top>
      <bottom/>
    </border>
    <border>
      <left style="thin">
        <color rgb="FF000000"/>
      </left>
      <right/>
      <top/>
      <bottom/>
    </border>
    <border>
      <left/>
      <right style="thin">
        <color rgb="FFAAAAAA"/>
      </right>
      <top style="thin">
        <color rgb="FFAAAAAA"/>
      </top>
      <bottom style="thin">
        <color rgb="FFAAAAAA"/>
      </bottom>
    </border>
    <border>
      <left style="thin">
        <color rgb="FF000000"/>
      </left>
      <right style="thin">
        <color rgb="FFAAAAAA"/>
      </right>
      <top/>
      <bottom style="thin">
        <color rgb="FFAAAAAA"/>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AAAAAA"/>
      </left>
      <right style="thin">
        <color rgb="FFAAAAAA"/>
      </right>
      <top style="thin">
        <color rgb="FF000000"/>
      </top>
      <bottom style="thin">
        <color rgb="FFAAAAAA"/>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3" numFmtId="0" xfId="0" applyAlignment="1" applyBorder="1" applyFill="1" applyFont="1">
      <alignment vertical="bottom"/>
    </xf>
    <xf borderId="2" fillId="2" fontId="3" numFmtId="0" xfId="0" applyAlignment="1" applyBorder="1" applyFont="1">
      <alignment vertical="bottom"/>
    </xf>
    <xf borderId="3" fillId="3" fontId="1" numFmtId="0" xfId="0" applyAlignment="1" applyBorder="1" applyFill="1" applyFont="1">
      <alignment horizontal="left" vertical="bottom"/>
    </xf>
    <xf borderId="0" fillId="0" fontId="3" numFmtId="0" xfId="0" applyAlignment="1" applyFont="1">
      <alignment vertical="bottom"/>
    </xf>
    <xf borderId="3" fillId="4" fontId="1" numFmtId="0" xfId="0" applyAlignment="1" applyBorder="1" applyFill="1" applyFont="1">
      <alignment horizontal="left" vertical="bottom"/>
    </xf>
    <xf borderId="4" fillId="2" fontId="3" numFmtId="0" xfId="0" applyAlignment="1" applyBorder="1" applyFont="1">
      <alignment vertical="bottom"/>
    </xf>
    <xf borderId="5" fillId="2" fontId="4" numFmtId="49" xfId="0" applyAlignment="1" applyBorder="1" applyFont="1" applyNumberFormat="1">
      <alignment horizontal="center" vertical="bottom"/>
    </xf>
    <xf borderId="3" fillId="4" fontId="5" numFmtId="0" xfId="0" applyAlignment="1" applyBorder="1" applyFont="1">
      <alignment horizontal="left" vertical="bottom"/>
    </xf>
    <xf borderId="6" fillId="0" fontId="6" numFmtId="0" xfId="0" applyBorder="1" applyFont="1"/>
    <xf borderId="7" fillId="0" fontId="6" numFmtId="0" xfId="0" applyBorder="1" applyFont="1"/>
    <xf borderId="1" fillId="2" fontId="4" numFmtId="49" xfId="0" applyAlignment="1" applyBorder="1" applyFont="1" applyNumberFormat="1">
      <alignment horizontal="left" vertical="bottom"/>
    </xf>
    <xf borderId="5" fillId="2" fontId="4" numFmtId="49" xfId="0" applyAlignment="1" applyBorder="1" applyFont="1" applyNumberFormat="1">
      <alignment horizontal="center" readingOrder="0" vertical="bottom"/>
    </xf>
    <xf borderId="8" fillId="2" fontId="4" numFmtId="49" xfId="0" applyAlignment="1" applyBorder="1" applyFont="1" applyNumberFormat="1">
      <alignment horizontal="left" vertical="bottom"/>
    </xf>
    <xf borderId="8" fillId="2" fontId="4" numFmtId="0" xfId="0" applyAlignment="1" applyBorder="1" applyFont="1">
      <alignment horizontal="left" vertical="bottom"/>
    </xf>
    <xf borderId="8" fillId="2" fontId="7" numFmtId="49" xfId="0" applyAlignment="1" applyBorder="1" applyFont="1" applyNumberFormat="1">
      <alignment horizontal="left" vertical="bottom"/>
    </xf>
    <xf borderId="8" fillId="2" fontId="3" numFmtId="0" xfId="0" applyAlignment="1" applyBorder="1" applyFont="1">
      <alignment vertical="bottom"/>
    </xf>
    <xf borderId="5" fillId="2" fontId="7" numFmtId="49" xfId="0" applyAlignment="1" applyBorder="1" applyFont="1" applyNumberFormat="1">
      <alignment horizontal="center" vertical="bottom"/>
    </xf>
    <xf borderId="5" fillId="2" fontId="4" numFmtId="49" xfId="0" applyAlignment="1" applyBorder="1" applyFont="1" applyNumberFormat="1">
      <alignment horizontal="left" vertical="bottom"/>
    </xf>
    <xf borderId="8" fillId="2" fontId="7" numFmtId="164" xfId="0" applyAlignment="1" applyBorder="1" applyFont="1" applyNumberFormat="1">
      <alignment vertical="bottom"/>
    </xf>
    <xf borderId="8" fillId="2" fontId="7" numFmtId="0" xfId="0" applyAlignment="1" applyBorder="1" applyFont="1">
      <alignment vertical="bottom"/>
    </xf>
    <xf borderId="9" fillId="2" fontId="3" numFmtId="0" xfId="0" applyAlignment="1" applyBorder="1" applyFont="1">
      <alignment vertical="bottom"/>
    </xf>
    <xf borderId="5" fillId="2" fontId="8" numFmtId="49" xfId="0" applyAlignment="1" applyBorder="1" applyFont="1" applyNumberFormat="1">
      <alignment horizontal="center" readingOrder="0" vertical="bottom"/>
    </xf>
    <xf borderId="10" fillId="2" fontId="4" numFmtId="49" xfId="0" applyAlignment="1" applyBorder="1" applyFont="1" applyNumberFormat="1">
      <alignment horizontal="center" vertical="bottom"/>
    </xf>
    <xf borderId="10" fillId="2" fontId="7" numFmtId="49" xfId="0" applyAlignment="1" applyBorder="1" applyFont="1" applyNumberFormat="1">
      <alignment horizontal="center" vertical="bottom"/>
    </xf>
    <xf borderId="10" fillId="2" fontId="7" numFmtId="49" xfId="0" applyAlignment="1" applyBorder="1" applyFont="1" applyNumberFormat="1">
      <alignment horizontal="center" shrinkToFit="0" vertical="center" wrapText="1"/>
    </xf>
    <xf borderId="5" fillId="2" fontId="9" numFmtId="0" xfId="0" applyAlignment="1" applyBorder="1" applyFont="1">
      <alignment horizontal="center" vertical="bottom"/>
    </xf>
    <xf borderId="10" fillId="2" fontId="7" numFmtId="164" xfId="0" applyAlignment="1" applyBorder="1" applyFont="1" applyNumberFormat="1">
      <alignment horizontal="center" vertical="bottom"/>
    </xf>
    <xf borderId="11" fillId="0" fontId="6" numFmtId="0" xfId="0" applyBorder="1" applyFont="1"/>
    <xf borderId="8" fillId="2" fontId="7" numFmtId="49" xfId="0" applyAlignment="1" applyBorder="1" applyFont="1" applyNumberFormat="1">
      <alignment horizontal="right" vertical="center"/>
    </xf>
    <xf borderId="5" fillId="2" fontId="9" numFmtId="49" xfId="0" applyAlignment="1" applyBorder="1" applyFont="1" applyNumberFormat="1">
      <alignment horizontal="left" vertical="bottom"/>
    </xf>
    <xf borderId="8" fillId="2" fontId="4" numFmtId="0" xfId="0" applyAlignment="1" applyBorder="1" applyFont="1">
      <alignment horizontal="right" vertical="bottom"/>
    </xf>
    <xf borderId="8" fillId="2" fontId="7" numFmtId="0" xfId="0" applyAlignment="1" applyBorder="1" applyFont="1">
      <alignment horizontal="right" vertical="bottom"/>
    </xf>
    <xf borderId="8" fillId="2" fontId="7" numFmtId="49" xfId="0" applyAlignment="1" applyBorder="1" applyFont="1" applyNumberFormat="1">
      <alignment horizontal="right" vertical="bottom"/>
    </xf>
    <xf borderId="8" fillId="2" fontId="9" numFmtId="164" xfId="0" applyAlignment="1" applyBorder="1" applyFont="1" applyNumberFormat="1">
      <alignment vertical="bottom"/>
    </xf>
    <xf borderId="8" fillId="2" fontId="7" numFmtId="164" xfId="0" applyAlignment="1" applyBorder="1" applyFont="1" applyNumberFormat="1">
      <alignment horizontal="right" vertical="bottom"/>
    </xf>
    <xf borderId="12" fillId="2" fontId="3" numFmtId="0" xfId="0" applyAlignment="1" applyBorder="1" applyFont="1">
      <alignment vertical="bottom"/>
    </xf>
    <xf borderId="8" fillId="2" fontId="3" numFmtId="49" xfId="0" applyAlignment="1" applyBorder="1" applyFont="1" applyNumberFormat="1">
      <alignment vertical="bottom"/>
    </xf>
    <xf borderId="8" fillId="2" fontId="3" numFmtId="164" xfId="0" applyAlignment="1" applyBorder="1" applyFont="1" applyNumberFormat="1">
      <alignment vertical="bottom"/>
    </xf>
    <xf borderId="13" fillId="5" fontId="3" numFmtId="49" xfId="0" applyAlignment="1" applyBorder="1" applyFill="1" applyFont="1" applyNumberFormat="1">
      <alignment vertical="bottom"/>
    </xf>
    <xf borderId="14" fillId="2" fontId="3" numFmtId="0" xfId="0" applyAlignment="1" applyBorder="1" applyFont="1">
      <alignment vertical="bottom"/>
    </xf>
    <xf borderId="5" fillId="2" fontId="9" numFmtId="0" xfId="0" applyAlignment="1" applyBorder="1" applyFont="1">
      <alignment horizontal="left" vertical="bottom"/>
    </xf>
    <xf borderId="15" fillId="2" fontId="3" numFmtId="0" xfId="0" applyAlignment="1" applyBorder="1" applyFont="1">
      <alignment vertical="bottom"/>
    </xf>
    <xf borderId="8" fillId="2" fontId="4" numFmtId="164" xfId="0" applyAlignment="1" applyBorder="1" applyFont="1" applyNumberFormat="1">
      <alignment vertical="bottom"/>
    </xf>
    <xf borderId="8" fillId="2" fontId="7" numFmtId="49" xfId="0" applyAlignment="1" applyBorder="1" applyFont="1" applyNumberFormat="1">
      <alignment vertical="bottom"/>
    </xf>
    <xf borderId="8" fillId="2" fontId="4" numFmtId="49" xfId="0" applyAlignment="1" applyBorder="1" applyFont="1" applyNumberFormat="1">
      <alignment horizontal="center" vertical="bottom"/>
    </xf>
    <xf borderId="16" fillId="2" fontId="9" numFmtId="0" xfId="0" applyAlignment="1" applyBorder="1" applyFont="1">
      <alignment horizontal="center" vertical="bottom"/>
    </xf>
    <xf borderId="17" fillId="0" fontId="6" numFmtId="0" xfId="0" applyBorder="1" applyFont="1"/>
    <xf borderId="8" fillId="2" fontId="9" numFmtId="49" xfId="0" applyAlignment="1" applyBorder="1" applyFont="1" applyNumberFormat="1">
      <alignment vertical="bottom"/>
    </xf>
    <xf borderId="18" fillId="0" fontId="6" numFmtId="0" xfId="0" applyBorder="1" applyFont="1"/>
    <xf borderId="19" fillId="0" fontId="6" numFmtId="0" xfId="0" applyBorder="1" applyFont="1"/>
    <xf borderId="20" fillId="2" fontId="3" numFmtId="0" xfId="0" applyAlignment="1" applyBorder="1" applyFont="1">
      <alignment vertical="bottom"/>
    </xf>
    <xf borderId="1" fillId="2" fontId="4" numFmtId="0" xfId="0" applyAlignment="1" applyBorder="1" applyFont="1">
      <alignment vertical="bottom"/>
    </xf>
    <xf borderId="5" fillId="2" fontId="10" numFmtId="49" xfId="0" applyAlignment="1" applyBorder="1" applyFont="1" applyNumberForma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perera@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perera@gmail.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perera@startupxsolutions.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c r="B3" s="1" t="s">
        <v>0</v>
      </c>
    </row>
    <row r="4" ht="12.75" customHeight="1"/>
    <row r="5" ht="12.75" customHeight="1"/>
    <row r="6" ht="12.75" customHeight="1"/>
    <row r="7">
      <c r="B7" s="2" t="s">
        <v>1</v>
      </c>
      <c r="C7" s="2" t="s">
        <v>2</v>
      </c>
      <c r="D7" s="2" t="s">
        <v>3</v>
      </c>
    </row>
    <row r="8" ht="12.75" customHeight="1"/>
    <row r="9" ht="12.75" customHeight="1">
      <c r="B9" s="5" t="s">
        <v>4</v>
      </c>
      <c r="C9" s="5"/>
      <c r="D9" s="5"/>
    </row>
    <row r="10" ht="12.75" customHeight="1">
      <c r="B10" s="7"/>
      <c r="C10" s="7" t="s">
        <v>5</v>
      </c>
      <c r="D10" s="10" t="s">
        <v>4</v>
      </c>
    </row>
    <row r="11" ht="12.75" customHeight="1">
      <c r="B11" s="5" t="s">
        <v>7</v>
      </c>
      <c r="C11" s="5"/>
      <c r="D11" s="5"/>
    </row>
    <row r="12" ht="12.75" customHeight="1">
      <c r="B12" s="7"/>
      <c r="C12" s="7" t="s">
        <v>5</v>
      </c>
      <c r="D12" s="10" t="s">
        <v>7</v>
      </c>
    </row>
    <row r="13" ht="12.75" customHeight="1">
      <c r="B13" s="5" t="s">
        <v>9</v>
      </c>
      <c r="C13" s="5"/>
      <c r="D13" s="5"/>
    </row>
    <row r="14" ht="12.75" customHeight="1">
      <c r="B14" s="7"/>
      <c r="C14" s="7" t="s">
        <v>5</v>
      </c>
      <c r="D14" s="10" t="s">
        <v>9</v>
      </c>
    </row>
    <row r="15" ht="12.75" customHeight="1">
      <c r="B15" s="5" t="s">
        <v>11</v>
      </c>
      <c r="C15" s="5"/>
      <c r="D15" s="5"/>
    </row>
    <row r="16" ht="12.75" customHeight="1">
      <c r="B16" s="7"/>
      <c r="C16" s="7" t="s">
        <v>5</v>
      </c>
      <c r="D16" s="10" t="s">
        <v>11</v>
      </c>
    </row>
    <row r="17" ht="12.75" customHeight="1">
      <c r="B17" s="5" t="s">
        <v>13</v>
      </c>
      <c r="C17" s="5"/>
      <c r="D17" s="5"/>
    </row>
    <row r="18" ht="12.75" customHeight="1">
      <c r="B18" s="7"/>
      <c r="C18" s="7" t="s">
        <v>5</v>
      </c>
      <c r="D18" s="10" t="s">
        <v>13</v>
      </c>
    </row>
    <row r="19" ht="12.75" customHeight="1">
      <c r="B19" s="5" t="s">
        <v>14</v>
      </c>
      <c r="C19" s="5"/>
      <c r="D19" s="5"/>
    </row>
    <row r="20" ht="12.75" customHeight="1">
      <c r="B20" s="7"/>
      <c r="C20" s="7" t="s">
        <v>5</v>
      </c>
      <c r="D20" s="10" t="s">
        <v>14</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Salary Sheet - Data Field" location="'Salary Sheet - Data Field'!R1C1" ref="D10"/>
    <hyperlink display="B.G.A.D.Basnayaka" location="B.G.A.D.Basnayaka!R1C1" ref="D12"/>
    <hyperlink display="E.A.R.H.B.Athauda" location="E.A.R.H.B.Athauda!R1C1" ref="D14"/>
    <hyperlink display="R.P.I.U.Rajapaksha" location="R.P.I.U.Rajapaksha!R1C1" ref="D16"/>
    <hyperlink display="Himashi Dissanayaka" location="'Himashi Dissanayaka'!R1C1" ref="D18"/>
    <hyperlink display="M.H.F.M.Haflal" location="M.H.F.M.Haflal!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3"/>
    <col customWidth="1" min="2" max="2" width="9.14"/>
    <col customWidth="1" min="3" max="3" width="45.0"/>
    <col customWidth="1" min="4" max="4" width="12.71"/>
    <col customWidth="1" min="5" max="5" width="14.0"/>
    <col customWidth="1" min="6" max="10" width="12.71"/>
    <col customWidth="1" min="11" max="11" width="10.43"/>
    <col customWidth="1" min="12" max="12" width="11.43"/>
    <col customWidth="1" min="13" max="13" width="10.43"/>
    <col customWidth="1" min="14" max="14" width="12.14"/>
    <col customWidth="1" min="15" max="15" width="13.86"/>
    <col customWidth="1" min="16" max="16" width="3.71"/>
    <col customWidth="1" min="17" max="19" width="13.86"/>
    <col customWidth="1" min="20" max="20" width="11.14"/>
    <col customWidth="1" min="21" max="23" width="9.14"/>
    <col customWidth="1" min="24" max="26" width="8.86"/>
  </cols>
  <sheetData>
    <row r="1" ht="13.5" customHeight="1">
      <c r="A1" s="3"/>
      <c r="B1" s="3"/>
      <c r="C1" s="3"/>
      <c r="D1" s="3"/>
      <c r="E1" s="3"/>
      <c r="F1" s="3"/>
      <c r="G1" s="3"/>
      <c r="H1" s="3"/>
      <c r="I1" s="3"/>
      <c r="J1" s="3"/>
      <c r="K1" s="3"/>
      <c r="L1" s="3"/>
      <c r="M1" s="3"/>
      <c r="N1" s="3"/>
      <c r="O1" s="3"/>
      <c r="P1" s="3"/>
      <c r="Q1" s="3"/>
      <c r="R1" s="3"/>
      <c r="S1" s="3"/>
      <c r="T1" s="3"/>
      <c r="U1" s="3"/>
      <c r="V1" s="3"/>
      <c r="W1" s="3"/>
      <c r="X1" s="6"/>
      <c r="Y1" s="6"/>
      <c r="Z1" s="6"/>
    </row>
    <row r="2" ht="14.25" customHeight="1">
      <c r="A2" s="3"/>
      <c r="B2" s="13" t="s">
        <v>8</v>
      </c>
      <c r="C2" s="3"/>
      <c r="D2" s="3"/>
      <c r="E2" s="3"/>
      <c r="F2" s="3"/>
      <c r="G2" s="3"/>
      <c r="H2" s="3"/>
      <c r="I2" s="3"/>
      <c r="J2" s="3"/>
      <c r="K2" s="3"/>
      <c r="L2" s="3"/>
      <c r="M2" s="3"/>
      <c r="N2" s="3"/>
      <c r="O2" s="3"/>
      <c r="P2" s="3"/>
      <c r="Q2" s="3"/>
      <c r="R2" s="3"/>
      <c r="S2" s="3"/>
      <c r="T2" s="3"/>
      <c r="U2" s="3"/>
      <c r="V2" s="3"/>
      <c r="W2" s="3"/>
      <c r="X2" s="6"/>
      <c r="Y2" s="6"/>
      <c r="Z2" s="6"/>
    </row>
    <row r="3" ht="13.5" customHeight="1">
      <c r="A3" s="3"/>
      <c r="B3" s="4"/>
      <c r="C3" s="4"/>
      <c r="D3" s="4"/>
      <c r="E3" s="4"/>
      <c r="F3" s="4"/>
      <c r="G3" s="4"/>
      <c r="H3" s="4"/>
      <c r="I3" s="4"/>
      <c r="J3" s="4"/>
      <c r="K3" s="4"/>
      <c r="L3" s="4"/>
      <c r="M3" s="4"/>
      <c r="N3" s="4"/>
      <c r="O3" s="4"/>
      <c r="P3" s="4"/>
      <c r="Q3" s="4"/>
      <c r="R3" s="4"/>
      <c r="S3" s="4"/>
      <c r="T3" s="4"/>
      <c r="U3" s="3"/>
      <c r="V3" s="3"/>
      <c r="W3" s="3"/>
      <c r="X3" s="6"/>
      <c r="Y3" s="6"/>
      <c r="Z3" s="6"/>
    </row>
    <row r="4" ht="13.5" customHeight="1">
      <c r="A4" s="8"/>
      <c r="B4" s="17" t="s">
        <v>16</v>
      </c>
      <c r="C4" s="18"/>
      <c r="D4" s="19" t="s">
        <v>18</v>
      </c>
      <c r="E4" s="11"/>
      <c r="F4" s="11"/>
      <c r="G4" s="11"/>
      <c r="H4" s="11"/>
      <c r="I4" s="11"/>
      <c r="J4" s="12"/>
      <c r="K4" s="19" t="s">
        <v>19</v>
      </c>
      <c r="L4" s="11"/>
      <c r="M4" s="11"/>
      <c r="N4" s="12"/>
      <c r="O4" s="21"/>
      <c r="P4" s="21"/>
      <c r="Q4" s="21"/>
      <c r="R4" s="21"/>
      <c r="S4" s="21"/>
      <c r="T4" s="22"/>
      <c r="U4" s="23"/>
      <c r="V4" s="3"/>
      <c r="W4" s="3"/>
      <c r="X4" s="6"/>
      <c r="Y4" s="6"/>
      <c r="Z4" s="6"/>
    </row>
    <row r="5" ht="25.5" customHeight="1">
      <c r="A5" s="8"/>
      <c r="B5" s="25" t="s">
        <v>21</v>
      </c>
      <c r="C5" s="26" t="s">
        <v>22</v>
      </c>
      <c r="D5" s="26" t="s">
        <v>23</v>
      </c>
      <c r="E5" s="27" t="s">
        <v>25</v>
      </c>
      <c r="F5" s="27" t="s">
        <v>26</v>
      </c>
      <c r="G5" s="27" t="s">
        <v>27</v>
      </c>
      <c r="H5" s="27" t="s">
        <v>28</v>
      </c>
      <c r="I5" s="27" t="s">
        <v>29</v>
      </c>
      <c r="J5" s="27" t="s">
        <v>30</v>
      </c>
      <c r="K5" s="26" t="s">
        <v>31</v>
      </c>
      <c r="L5" s="26" t="s">
        <v>32</v>
      </c>
      <c r="M5" s="27" t="s">
        <v>33</v>
      </c>
      <c r="N5" s="26" t="s">
        <v>34</v>
      </c>
      <c r="O5" s="26" t="s">
        <v>35</v>
      </c>
      <c r="P5" s="29"/>
      <c r="Q5" s="26" t="s">
        <v>36</v>
      </c>
      <c r="R5" s="26" t="s">
        <v>37</v>
      </c>
      <c r="S5" s="26" t="s">
        <v>38</v>
      </c>
      <c r="T5" s="26" t="s">
        <v>39</v>
      </c>
      <c r="U5" s="23"/>
      <c r="V5" s="3"/>
      <c r="W5" s="3"/>
      <c r="X5" s="6"/>
      <c r="Y5" s="6"/>
      <c r="Z5" s="6"/>
    </row>
    <row r="6" ht="13.5" customHeight="1">
      <c r="A6" s="8"/>
      <c r="B6" s="30"/>
      <c r="C6" s="30"/>
      <c r="D6" s="30"/>
      <c r="E6" s="30"/>
      <c r="F6" s="30"/>
      <c r="G6" s="30"/>
      <c r="H6" s="30"/>
      <c r="I6" s="30"/>
      <c r="J6" s="30"/>
      <c r="K6" s="30"/>
      <c r="L6" s="30"/>
      <c r="M6" s="30"/>
      <c r="N6" s="30"/>
      <c r="O6" s="30"/>
      <c r="P6" s="30"/>
      <c r="Q6" s="30"/>
      <c r="R6" s="30"/>
      <c r="S6" s="30"/>
      <c r="T6" s="30"/>
      <c r="U6" s="23"/>
      <c r="V6" s="3"/>
      <c r="W6" s="3"/>
      <c r="X6" s="6"/>
      <c r="Y6" s="6"/>
      <c r="Z6" s="6"/>
    </row>
    <row r="7" ht="14.25" customHeight="1">
      <c r="A7" s="8"/>
      <c r="B7" s="33"/>
      <c r="C7" s="34"/>
      <c r="D7" s="35" t="s">
        <v>40</v>
      </c>
      <c r="E7" s="35" t="s">
        <v>40</v>
      </c>
      <c r="F7" s="35" t="s">
        <v>40</v>
      </c>
      <c r="G7" s="35" t="s">
        <v>40</v>
      </c>
      <c r="H7" s="35" t="s">
        <v>40</v>
      </c>
      <c r="I7" s="35" t="s">
        <v>40</v>
      </c>
      <c r="J7" s="35" t="s">
        <v>40</v>
      </c>
      <c r="K7" s="35" t="s">
        <v>40</v>
      </c>
      <c r="L7" s="35" t="s">
        <v>40</v>
      </c>
      <c r="M7" s="35" t="s">
        <v>40</v>
      </c>
      <c r="N7" s="35" t="s">
        <v>40</v>
      </c>
      <c r="O7" s="35" t="s">
        <v>40</v>
      </c>
      <c r="P7" s="37"/>
      <c r="Q7" s="35" t="s">
        <v>40</v>
      </c>
      <c r="R7" s="35" t="s">
        <v>40</v>
      </c>
      <c r="S7" s="35" t="s">
        <v>40</v>
      </c>
      <c r="T7" s="34"/>
      <c r="U7" s="23"/>
      <c r="V7" s="3"/>
      <c r="W7" s="3"/>
      <c r="X7" s="6"/>
      <c r="Y7" s="6"/>
      <c r="Z7" s="6"/>
    </row>
    <row r="8" ht="14.25" customHeight="1">
      <c r="A8" s="8"/>
      <c r="B8" s="33"/>
      <c r="C8" s="17" t="s">
        <v>45</v>
      </c>
      <c r="D8" s="37"/>
      <c r="E8" s="37"/>
      <c r="F8" s="37"/>
      <c r="G8" s="37"/>
      <c r="H8" s="37"/>
      <c r="I8" s="37"/>
      <c r="J8" s="37"/>
      <c r="K8" s="37"/>
      <c r="L8" s="37"/>
      <c r="M8" s="37"/>
      <c r="N8" s="37"/>
      <c r="O8" s="37"/>
      <c r="P8" s="37"/>
      <c r="Q8" s="37"/>
      <c r="R8" s="37"/>
      <c r="S8" s="37"/>
      <c r="T8" s="34"/>
      <c r="U8" s="38"/>
      <c r="V8" s="3"/>
      <c r="W8" s="3"/>
      <c r="X8" s="6"/>
      <c r="Y8" s="6"/>
      <c r="Z8" s="6"/>
    </row>
    <row r="9" ht="14.25" customHeight="1">
      <c r="A9" s="8"/>
      <c r="B9" s="18">
        <v>1.0</v>
      </c>
      <c r="C9" s="39" t="s">
        <v>47</v>
      </c>
      <c r="D9" s="40">
        <v>46500.0</v>
      </c>
      <c r="E9" s="40">
        <v>3500.0</v>
      </c>
      <c r="F9" s="40">
        <f>SUM(D9:E9)</f>
        <v>50000</v>
      </c>
      <c r="G9" s="40">
        <f>20000+5000</f>
        <v>25000</v>
      </c>
      <c r="H9" s="40">
        <v>0.0</v>
      </c>
      <c r="I9" s="40">
        <v>10000.0</v>
      </c>
      <c r="J9" s="40">
        <f>SUM(F9:I9)</f>
        <v>85000</v>
      </c>
      <c r="K9" s="40">
        <f>F9*8%</f>
        <v>4000</v>
      </c>
      <c r="L9" s="40">
        <v>0.0</v>
      </c>
      <c r="M9" s="40">
        <v>25.0</v>
      </c>
      <c r="N9" s="40">
        <f>SUM(K9:M9)</f>
        <v>4025</v>
      </c>
      <c r="O9" s="40">
        <f>J9-N9</f>
        <v>80975</v>
      </c>
      <c r="P9" s="40"/>
      <c r="Q9" s="40">
        <f>F9*12%</f>
        <v>6000</v>
      </c>
      <c r="R9" s="40">
        <f>F9*3%</f>
        <v>1500</v>
      </c>
      <c r="S9" s="40">
        <f>K9+Q9</f>
        <v>10000</v>
      </c>
      <c r="T9" s="18"/>
      <c r="U9" s="41" t="s">
        <v>53</v>
      </c>
      <c r="V9" s="42"/>
      <c r="W9" s="3"/>
      <c r="X9" s="6"/>
      <c r="Y9" s="6"/>
      <c r="Z9" s="6"/>
    </row>
    <row r="10" ht="14.25" customHeight="1">
      <c r="A10" s="8"/>
      <c r="B10" s="18"/>
      <c r="C10" s="18"/>
      <c r="D10" s="40"/>
      <c r="E10" s="40"/>
      <c r="F10" s="40"/>
      <c r="G10" s="40"/>
      <c r="H10" s="40"/>
      <c r="I10" s="40"/>
      <c r="J10" s="40"/>
      <c r="K10" s="40"/>
      <c r="L10" s="40"/>
      <c r="M10" s="40"/>
      <c r="N10" s="40"/>
      <c r="O10" s="40"/>
      <c r="P10" s="40"/>
      <c r="Q10" s="40"/>
      <c r="R10" s="40"/>
      <c r="S10" s="40"/>
      <c r="T10" s="18"/>
      <c r="U10" s="44"/>
      <c r="V10" s="3"/>
      <c r="W10" s="3"/>
      <c r="X10" s="6"/>
      <c r="Y10" s="6"/>
      <c r="Z10" s="6"/>
    </row>
    <row r="11" ht="14.25" customHeight="1">
      <c r="A11" s="8"/>
      <c r="B11" s="18"/>
      <c r="C11" s="46" t="s">
        <v>55</v>
      </c>
      <c r="D11" s="40"/>
      <c r="E11" s="40"/>
      <c r="F11" s="40"/>
      <c r="G11" s="40"/>
      <c r="H11" s="40"/>
      <c r="I11" s="40"/>
      <c r="J11" s="40"/>
      <c r="K11" s="40"/>
      <c r="L11" s="40"/>
      <c r="M11" s="40"/>
      <c r="N11" s="40"/>
      <c r="O11" s="40"/>
      <c r="P11" s="40"/>
      <c r="Q11" s="40"/>
      <c r="R11" s="40"/>
      <c r="S11" s="40"/>
      <c r="T11" s="18"/>
      <c r="U11" s="23"/>
      <c r="V11" s="3"/>
      <c r="W11" s="3"/>
      <c r="X11" s="6"/>
      <c r="Y11" s="6"/>
      <c r="Z11" s="6"/>
    </row>
    <row r="12" ht="14.25" customHeight="1">
      <c r="A12" s="8"/>
      <c r="B12" s="18">
        <v>2.0</v>
      </c>
      <c r="C12" s="39" t="s">
        <v>57</v>
      </c>
      <c r="D12" s="40">
        <v>46500.0</v>
      </c>
      <c r="E12" s="40">
        <v>3500.0</v>
      </c>
      <c r="F12" s="40">
        <f>SUM(D12:E12)</f>
        <v>50000</v>
      </c>
      <c r="G12" s="40">
        <f>15000+3000</f>
        <v>18000</v>
      </c>
      <c r="H12" s="40">
        <v>0.0</v>
      </c>
      <c r="I12" s="40">
        <v>10000.0</v>
      </c>
      <c r="J12" s="40">
        <f>SUM(F12:I12)</f>
        <v>78000</v>
      </c>
      <c r="K12" s="40">
        <v>0.0</v>
      </c>
      <c r="L12" s="40">
        <v>0.0</v>
      </c>
      <c r="M12" s="40">
        <v>25.0</v>
      </c>
      <c r="N12" s="40">
        <f>SUM(K12:M12)</f>
        <v>25</v>
      </c>
      <c r="O12" s="40">
        <f>J12-N12</f>
        <v>77975</v>
      </c>
      <c r="P12" s="40"/>
      <c r="Q12" s="40">
        <v>0.0</v>
      </c>
      <c r="R12" s="40">
        <v>0.0</v>
      </c>
      <c r="S12" s="40">
        <v>0.0</v>
      </c>
      <c r="T12" s="18"/>
      <c r="U12" s="23"/>
      <c r="V12" s="3"/>
      <c r="W12" s="3"/>
      <c r="X12" s="6"/>
      <c r="Y12" s="6"/>
      <c r="Z12" s="6"/>
    </row>
    <row r="13" ht="14.25" customHeight="1">
      <c r="A13" s="8"/>
      <c r="B13" s="18"/>
      <c r="C13" s="18"/>
      <c r="D13" s="40"/>
      <c r="E13" s="40"/>
      <c r="F13" s="40"/>
      <c r="G13" s="40"/>
      <c r="H13" s="40"/>
      <c r="I13" s="40"/>
      <c r="J13" s="40"/>
      <c r="K13" s="40"/>
      <c r="L13" s="40"/>
      <c r="M13" s="40"/>
      <c r="N13" s="40"/>
      <c r="O13" s="40"/>
      <c r="P13" s="40"/>
      <c r="Q13" s="40"/>
      <c r="R13" s="40"/>
      <c r="S13" s="40"/>
      <c r="T13" s="18"/>
      <c r="U13" s="23"/>
      <c r="V13" s="3"/>
      <c r="W13" s="3"/>
      <c r="X13" s="6"/>
      <c r="Y13" s="6"/>
      <c r="Z13" s="6"/>
    </row>
    <row r="14" ht="14.25" customHeight="1">
      <c r="A14" s="8"/>
      <c r="B14" s="18">
        <v>3.0</v>
      </c>
      <c r="C14" s="39" t="s">
        <v>62</v>
      </c>
      <c r="D14" s="40">
        <v>71500.0</v>
      </c>
      <c r="E14" s="40">
        <v>3500.0</v>
      </c>
      <c r="F14" s="40">
        <f>SUM(D14:E14)</f>
        <v>75000</v>
      </c>
      <c r="G14" s="40">
        <f>15000+5000+35000</f>
        <v>55000</v>
      </c>
      <c r="H14" s="40">
        <v>0.0</v>
      </c>
      <c r="I14" s="40">
        <v>17000.0</v>
      </c>
      <c r="J14" s="40">
        <f>SUM(F14:I14)</f>
        <v>147000</v>
      </c>
      <c r="K14" s="40">
        <v>0.0</v>
      </c>
      <c r="L14" s="40">
        <v>0.0</v>
      </c>
      <c r="M14" s="40">
        <v>25.0</v>
      </c>
      <c r="N14" s="40">
        <f>SUM(K14:M14)</f>
        <v>25</v>
      </c>
      <c r="O14" s="40">
        <f>J14-N14</f>
        <v>146975</v>
      </c>
      <c r="P14" s="40"/>
      <c r="Q14" s="40">
        <v>0.0</v>
      </c>
      <c r="R14" s="40">
        <v>0.0</v>
      </c>
      <c r="S14" s="40">
        <v>0.0</v>
      </c>
      <c r="T14" s="18"/>
      <c r="U14" s="23"/>
      <c r="V14" s="3"/>
      <c r="W14" s="3"/>
      <c r="X14" s="6"/>
      <c r="Y14" s="6"/>
      <c r="Z14" s="6"/>
    </row>
    <row r="15" ht="14.25" customHeight="1">
      <c r="A15" s="8"/>
      <c r="B15" s="18"/>
      <c r="C15" s="18"/>
      <c r="D15" s="40"/>
      <c r="E15" s="40"/>
      <c r="F15" s="40"/>
      <c r="G15" s="40"/>
      <c r="H15" s="40"/>
      <c r="I15" s="40"/>
      <c r="J15" s="40"/>
      <c r="K15" s="40"/>
      <c r="L15" s="40"/>
      <c r="M15" s="40"/>
      <c r="N15" s="40"/>
      <c r="O15" s="40"/>
      <c r="P15" s="40"/>
      <c r="Q15" s="40"/>
      <c r="R15" s="40"/>
      <c r="S15" s="40"/>
      <c r="T15" s="18"/>
      <c r="U15" s="23"/>
      <c r="V15" s="3"/>
      <c r="W15" s="3"/>
      <c r="X15" s="6"/>
      <c r="Y15" s="6"/>
      <c r="Z15" s="6"/>
    </row>
    <row r="16" ht="14.25" customHeight="1">
      <c r="A16" s="8"/>
      <c r="B16" s="18">
        <v>4.0</v>
      </c>
      <c r="C16" s="39" t="s">
        <v>66</v>
      </c>
      <c r="D16" s="40">
        <f>16500+4000</f>
        <v>20500</v>
      </c>
      <c r="E16" s="40">
        <v>3500.0</v>
      </c>
      <c r="F16" s="40">
        <f>SUM(D16:E16)</f>
        <v>24000</v>
      </c>
      <c r="G16" s="40">
        <f>5000+3000+8000</f>
        <v>16000</v>
      </c>
      <c r="H16" s="40">
        <v>25000.0</v>
      </c>
      <c r="I16" s="40">
        <v>10000.0</v>
      </c>
      <c r="J16" s="40">
        <f>SUM(F16:I16)</f>
        <v>75000</v>
      </c>
      <c r="K16" s="40">
        <v>0.0</v>
      </c>
      <c r="L16" s="40">
        <v>0.0</v>
      </c>
      <c r="M16" s="40">
        <v>25.0</v>
      </c>
      <c r="N16" s="40">
        <f>SUM(K16:M16)</f>
        <v>25</v>
      </c>
      <c r="O16" s="40">
        <f>J16-N16</f>
        <v>74975</v>
      </c>
      <c r="P16" s="40"/>
      <c r="Q16" s="40">
        <v>0.0</v>
      </c>
      <c r="R16" s="40">
        <v>0.0</v>
      </c>
      <c r="S16" s="40">
        <v>0.0</v>
      </c>
      <c r="T16" s="18"/>
      <c r="U16" s="23"/>
      <c r="V16" s="3"/>
      <c r="W16" s="3"/>
      <c r="X16" s="6"/>
      <c r="Y16" s="6"/>
      <c r="Z16" s="6"/>
    </row>
    <row r="17" ht="14.25" customHeight="1">
      <c r="A17" s="8"/>
      <c r="B17" s="18"/>
      <c r="C17" s="18"/>
      <c r="D17" s="40"/>
      <c r="E17" s="40"/>
      <c r="F17" s="40"/>
      <c r="G17" s="40"/>
      <c r="H17" s="40"/>
      <c r="I17" s="40"/>
      <c r="J17" s="40"/>
      <c r="K17" s="40"/>
      <c r="L17" s="40"/>
      <c r="M17" s="40"/>
      <c r="N17" s="40"/>
      <c r="O17" s="40"/>
      <c r="P17" s="40"/>
      <c r="Q17" s="40"/>
      <c r="R17" s="40"/>
      <c r="S17" s="40"/>
      <c r="T17" s="18"/>
      <c r="U17" s="23"/>
      <c r="V17" s="3"/>
      <c r="W17" s="3"/>
      <c r="X17" s="6"/>
      <c r="Y17" s="6"/>
      <c r="Z17" s="6"/>
    </row>
    <row r="18" ht="14.25" customHeight="1">
      <c r="A18" s="8"/>
      <c r="B18" s="18">
        <v>5.0</v>
      </c>
      <c r="C18" s="39" t="s">
        <v>71</v>
      </c>
      <c r="D18" s="40">
        <v>46500.0</v>
      </c>
      <c r="E18" s="40">
        <v>3500.0</v>
      </c>
      <c r="F18" s="40">
        <f>SUM(D18:E18)</f>
        <v>50000</v>
      </c>
      <c r="G18" s="40">
        <f>5000+5000+7000</f>
        <v>17000</v>
      </c>
      <c r="H18" s="40">
        <v>0.0</v>
      </c>
      <c r="I18" s="40">
        <v>23000.0</v>
      </c>
      <c r="J18" s="40">
        <f>SUM(F18:I18)</f>
        <v>90000</v>
      </c>
      <c r="K18" s="40">
        <v>0.0</v>
      </c>
      <c r="L18" s="40">
        <v>0.0</v>
      </c>
      <c r="M18" s="40">
        <v>25.0</v>
      </c>
      <c r="N18" s="40">
        <f>SUM(K18:M18)</f>
        <v>25</v>
      </c>
      <c r="O18" s="40">
        <f>J18-N18</f>
        <v>89975</v>
      </c>
      <c r="P18" s="40"/>
      <c r="Q18" s="40">
        <v>0.0</v>
      </c>
      <c r="R18" s="40">
        <v>0.0</v>
      </c>
      <c r="S18" s="40">
        <v>0.0</v>
      </c>
      <c r="T18" s="18"/>
      <c r="U18" s="23"/>
      <c r="V18" s="3"/>
      <c r="W18" s="3"/>
      <c r="X18" s="6"/>
      <c r="Y18" s="6"/>
      <c r="Z18" s="6"/>
    </row>
    <row r="19" ht="14.25" customHeight="1">
      <c r="A19" s="8"/>
      <c r="B19" s="18"/>
      <c r="C19" s="18"/>
      <c r="D19" s="40"/>
      <c r="E19" s="40"/>
      <c r="F19" s="40"/>
      <c r="G19" s="40"/>
      <c r="H19" s="40"/>
      <c r="I19" s="40"/>
      <c r="J19" s="40"/>
      <c r="K19" s="40"/>
      <c r="L19" s="40"/>
      <c r="M19" s="40"/>
      <c r="N19" s="40"/>
      <c r="O19" s="40"/>
      <c r="P19" s="40"/>
      <c r="Q19" s="40"/>
      <c r="R19" s="40"/>
      <c r="S19" s="40"/>
      <c r="T19" s="18"/>
      <c r="U19" s="23"/>
      <c r="V19" s="3"/>
      <c r="W19" s="3"/>
      <c r="X19" s="6"/>
      <c r="Y19" s="6"/>
      <c r="Z19" s="6"/>
    </row>
    <row r="20" ht="14.25" customHeight="1">
      <c r="A20" s="8"/>
      <c r="B20" s="9" t="s">
        <v>34</v>
      </c>
      <c r="C20" s="12"/>
      <c r="D20" s="40">
        <f t="shared" ref="D20:O20" si="1">SUM(D9:D19)</f>
        <v>231500</v>
      </c>
      <c r="E20" s="40">
        <f t="shared" si="1"/>
        <v>17500</v>
      </c>
      <c r="F20" s="40">
        <f t="shared" si="1"/>
        <v>249000</v>
      </c>
      <c r="G20" s="40">
        <f t="shared" si="1"/>
        <v>131000</v>
      </c>
      <c r="H20" s="40">
        <f t="shared" si="1"/>
        <v>25000</v>
      </c>
      <c r="I20" s="40">
        <f t="shared" si="1"/>
        <v>70000</v>
      </c>
      <c r="J20" s="40">
        <f t="shared" si="1"/>
        <v>475000</v>
      </c>
      <c r="K20" s="40">
        <f t="shared" si="1"/>
        <v>4000</v>
      </c>
      <c r="L20" s="40">
        <f t="shared" si="1"/>
        <v>0</v>
      </c>
      <c r="M20" s="40">
        <f t="shared" si="1"/>
        <v>125</v>
      </c>
      <c r="N20" s="40">
        <f t="shared" si="1"/>
        <v>4125</v>
      </c>
      <c r="O20" s="40">
        <f t="shared" si="1"/>
        <v>470875</v>
      </c>
      <c r="P20" s="40"/>
      <c r="Q20" s="40">
        <f t="shared" ref="Q20:S20" si="2">SUM(Q9:Q19)</f>
        <v>6000</v>
      </c>
      <c r="R20" s="40">
        <f t="shared" si="2"/>
        <v>1500</v>
      </c>
      <c r="S20" s="40">
        <f t="shared" si="2"/>
        <v>10000</v>
      </c>
      <c r="T20" s="18"/>
      <c r="U20" s="23"/>
      <c r="V20" s="3"/>
      <c r="W20" s="3"/>
      <c r="X20" s="6"/>
      <c r="Y20" s="6"/>
      <c r="Z20" s="6"/>
    </row>
    <row r="21" ht="15.75" customHeight="1">
      <c r="A21" s="3"/>
      <c r="B21" s="53"/>
      <c r="C21" s="53"/>
      <c r="D21" s="53"/>
      <c r="E21" s="53"/>
      <c r="F21" s="53"/>
      <c r="G21" s="53"/>
      <c r="H21" s="53"/>
      <c r="I21" s="53"/>
      <c r="J21" s="53"/>
      <c r="K21" s="53"/>
      <c r="L21" s="53"/>
      <c r="M21" s="53"/>
      <c r="N21" s="53"/>
      <c r="O21" s="53"/>
      <c r="P21" s="53"/>
      <c r="Q21" s="53"/>
      <c r="R21" s="53"/>
      <c r="S21" s="53"/>
      <c r="T21" s="53"/>
      <c r="U21" s="3"/>
      <c r="V21" s="3"/>
      <c r="W21" s="3"/>
      <c r="X21" s="6"/>
      <c r="Y21" s="6"/>
      <c r="Z21" s="6"/>
    </row>
    <row r="22" ht="13.5" customHeight="1">
      <c r="A22" s="3"/>
      <c r="B22" s="3"/>
      <c r="C22" s="3"/>
      <c r="D22" s="3"/>
      <c r="E22" s="3"/>
      <c r="F22" s="3"/>
      <c r="G22" s="3"/>
      <c r="H22" s="3"/>
      <c r="I22" s="3"/>
      <c r="J22" s="3"/>
      <c r="K22" s="3"/>
      <c r="L22" s="3"/>
      <c r="M22" s="3"/>
      <c r="N22" s="3"/>
      <c r="O22" s="3"/>
      <c r="P22" s="3"/>
      <c r="Q22" s="3"/>
      <c r="R22" s="3"/>
      <c r="S22" s="3"/>
      <c r="T22" s="3"/>
      <c r="U22" s="3"/>
      <c r="V22" s="3"/>
      <c r="W22" s="3"/>
      <c r="X22" s="6"/>
      <c r="Y22" s="6"/>
      <c r="Z22" s="6"/>
    </row>
    <row r="23" ht="13.5" customHeight="1">
      <c r="A23" s="3"/>
      <c r="B23" s="3"/>
      <c r="C23" s="3"/>
      <c r="D23" s="3"/>
      <c r="E23" s="3"/>
      <c r="F23" s="3"/>
      <c r="G23" s="3"/>
      <c r="H23" s="3"/>
      <c r="I23" s="3"/>
      <c r="J23" s="3"/>
      <c r="K23" s="3"/>
      <c r="L23" s="3"/>
      <c r="M23" s="3"/>
      <c r="N23" s="3"/>
      <c r="O23" s="3"/>
      <c r="P23" s="3"/>
      <c r="Q23" s="3"/>
      <c r="R23" s="3"/>
      <c r="S23" s="3"/>
      <c r="T23" s="3"/>
      <c r="U23" s="3"/>
      <c r="V23" s="3"/>
      <c r="W23" s="3"/>
      <c r="X23" s="6"/>
      <c r="Y23" s="6"/>
      <c r="Z23" s="6"/>
    </row>
    <row r="24" ht="14.25" customHeight="1">
      <c r="A24" s="3"/>
      <c r="B24" s="3"/>
      <c r="C24" s="54"/>
      <c r="D24" s="3"/>
      <c r="E24" s="3"/>
      <c r="F24" s="3"/>
      <c r="G24" s="3"/>
      <c r="H24" s="3"/>
      <c r="I24" s="3"/>
      <c r="J24" s="3"/>
      <c r="K24" s="3"/>
      <c r="L24" s="3"/>
      <c r="M24" s="3"/>
      <c r="N24" s="3"/>
      <c r="O24" s="3"/>
      <c r="P24" s="3"/>
      <c r="Q24" s="3"/>
      <c r="R24" s="3"/>
      <c r="S24" s="3"/>
      <c r="T24" s="3"/>
      <c r="U24" s="3"/>
      <c r="V24" s="3"/>
      <c r="W24" s="3"/>
      <c r="X24" s="6"/>
      <c r="Y24" s="6"/>
      <c r="Z24" s="6"/>
    </row>
    <row r="25" ht="13.5" customHeight="1">
      <c r="A25" s="3"/>
      <c r="B25" s="3"/>
      <c r="C25" s="3"/>
      <c r="D25" s="3"/>
      <c r="E25" s="3"/>
      <c r="F25" s="3"/>
      <c r="G25" s="3"/>
      <c r="H25" s="3"/>
      <c r="I25" s="3"/>
      <c r="J25" s="3"/>
      <c r="K25" s="3"/>
      <c r="L25" s="3"/>
      <c r="M25" s="3"/>
      <c r="N25" s="3"/>
      <c r="O25" s="3"/>
      <c r="P25" s="3"/>
      <c r="Q25" s="3"/>
      <c r="R25" s="3"/>
      <c r="S25" s="3"/>
      <c r="T25" s="3"/>
      <c r="U25" s="3"/>
      <c r="V25" s="3"/>
      <c r="W25" s="3"/>
      <c r="X25" s="6"/>
      <c r="Y25" s="6"/>
      <c r="Z25" s="6"/>
    </row>
    <row r="26" ht="13.5" customHeight="1">
      <c r="A26" s="3"/>
      <c r="B26" s="3"/>
      <c r="C26" s="3"/>
      <c r="D26" s="3"/>
      <c r="E26" s="3"/>
      <c r="F26" s="3"/>
      <c r="G26" s="3"/>
      <c r="H26" s="3"/>
      <c r="I26" s="3"/>
      <c r="J26" s="3"/>
      <c r="K26" s="3"/>
      <c r="L26" s="3"/>
      <c r="M26" s="3"/>
      <c r="N26" s="3"/>
      <c r="O26" s="3"/>
      <c r="P26" s="3"/>
      <c r="Q26" s="3"/>
      <c r="R26" s="3"/>
      <c r="S26" s="3"/>
      <c r="T26" s="3"/>
      <c r="U26" s="3"/>
      <c r="V26" s="3"/>
      <c r="W26" s="3"/>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2">
    <mergeCell ref="G5:G6"/>
    <mergeCell ref="H5:H6"/>
    <mergeCell ref="B20:C20"/>
    <mergeCell ref="I5:I6"/>
    <mergeCell ref="J5:J6"/>
    <mergeCell ref="K5:K6"/>
    <mergeCell ref="L5:L6"/>
    <mergeCell ref="M5:M6"/>
    <mergeCell ref="N5:N6"/>
    <mergeCell ref="O5:O6"/>
    <mergeCell ref="P5:P6"/>
    <mergeCell ref="Q5:Q6"/>
    <mergeCell ref="R5:R6"/>
    <mergeCell ref="S5:S6"/>
    <mergeCell ref="T5:T6"/>
    <mergeCell ref="D4:J4"/>
    <mergeCell ref="K4:N4"/>
    <mergeCell ref="B5:B6"/>
    <mergeCell ref="C5:C6"/>
    <mergeCell ref="D5:D6"/>
    <mergeCell ref="E5:E6"/>
    <mergeCell ref="F5:F6"/>
  </mergeCells>
  <printOptions/>
  <pageMargins bottom="0.75" footer="0.0" header="0.0" left="0.7" right="0.7" top="0.75"/>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12.14"/>
    <col customWidth="1" min="3" max="4" width="8.86"/>
    <col customWidth="1" min="5" max="5" width="15.0"/>
    <col customWidth="1" min="6" max="26" width="8.86"/>
  </cols>
  <sheetData>
    <row r="1" ht="13.5" customHeight="1">
      <c r="A1" s="3"/>
      <c r="B1" s="4"/>
      <c r="C1" s="4"/>
      <c r="D1" s="4"/>
      <c r="E1" s="4"/>
      <c r="F1" s="6"/>
      <c r="G1" s="6"/>
      <c r="H1" s="6"/>
      <c r="I1" s="6"/>
      <c r="J1" s="6"/>
      <c r="K1" s="6"/>
      <c r="L1" s="6"/>
      <c r="M1" s="6"/>
      <c r="N1" s="6"/>
      <c r="O1" s="6"/>
      <c r="P1" s="6"/>
      <c r="Q1" s="6"/>
      <c r="R1" s="6"/>
      <c r="S1" s="6"/>
      <c r="T1" s="6"/>
      <c r="U1" s="6"/>
      <c r="V1" s="6"/>
      <c r="W1" s="6"/>
      <c r="X1" s="6"/>
      <c r="Y1" s="6"/>
      <c r="Z1" s="6"/>
    </row>
    <row r="2" ht="14.25" customHeight="1">
      <c r="A2" s="8"/>
      <c r="B2" s="9" t="s">
        <v>6</v>
      </c>
      <c r="C2" s="11"/>
      <c r="D2" s="11"/>
      <c r="E2" s="12"/>
      <c r="F2" s="6"/>
      <c r="G2" s="6"/>
      <c r="H2" s="6"/>
      <c r="I2" s="6"/>
      <c r="J2" s="6"/>
      <c r="K2" s="6"/>
      <c r="L2" s="6"/>
      <c r="M2" s="6"/>
      <c r="N2" s="6"/>
      <c r="O2" s="6"/>
      <c r="P2" s="6"/>
      <c r="Q2" s="6"/>
      <c r="R2" s="6"/>
      <c r="S2" s="6"/>
      <c r="T2" s="6"/>
      <c r="U2" s="6"/>
      <c r="V2" s="6"/>
      <c r="W2" s="6"/>
      <c r="X2" s="6"/>
      <c r="Y2" s="6"/>
      <c r="Z2" s="6"/>
    </row>
    <row r="3" ht="14.25" customHeight="1">
      <c r="A3" s="8"/>
      <c r="B3" s="9" t="s">
        <v>10</v>
      </c>
      <c r="C3" s="11"/>
      <c r="D3" s="11"/>
      <c r="E3" s="12"/>
      <c r="F3" s="6"/>
      <c r="G3" s="6"/>
      <c r="H3" s="6"/>
      <c r="I3" s="6"/>
      <c r="J3" s="6"/>
      <c r="K3" s="6"/>
      <c r="L3" s="6"/>
      <c r="M3" s="6"/>
      <c r="N3" s="6"/>
      <c r="O3" s="6"/>
      <c r="P3" s="6"/>
      <c r="Q3" s="6"/>
      <c r="R3" s="6"/>
      <c r="S3" s="6"/>
      <c r="T3" s="6"/>
      <c r="U3" s="6"/>
      <c r="V3" s="6"/>
      <c r="W3" s="6"/>
      <c r="X3" s="6"/>
      <c r="Y3" s="6"/>
      <c r="Z3" s="6"/>
    </row>
    <row r="4" ht="14.25" customHeight="1">
      <c r="A4" s="8"/>
      <c r="B4" s="24" t="s">
        <v>12</v>
      </c>
      <c r="C4" s="11"/>
      <c r="D4" s="11"/>
      <c r="E4" s="12"/>
      <c r="F4" s="6"/>
      <c r="G4" s="6"/>
      <c r="H4" s="6"/>
      <c r="I4" s="6"/>
      <c r="J4" s="6"/>
      <c r="K4" s="6"/>
      <c r="L4" s="6"/>
      <c r="M4" s="6"/>
      <c r="N4" s="6"/>
      <c r="O4" s="6"/>
      <c r="P4" s="6"/>
      <c r="Q4" s="6"/>
      <c r="R4" s="6"/>
      <c r="S4" s="6"/>
      <c r="T4" s="6"/>
      <c r="U4" s="6"/>
      <c r="V4" s="6"/>
      <c r="W4" s="6"/>
      <c r="X4" s="6"/>
      <c r="Y4" s="6"/>
      <c r="Z4" s="6"/>
    </row>
    <row r="5" ht="14.25" customHeight="1">
      <c r="A5" s="8"/>
      <c r="B5" s="15" t="s">
        <v>24</v>
      </c>
      <c r="C5" s="16"/>
      <c r="D5" s="16"/>
      <c r="E5" s="16"/>
      <c r="F5" s="6"/>
      <c r="G5" s="6"/>
      <c r="H5" s="6"/>
      <c r="I5" s="6"/>
      <c r="J5" s="6"/>
      <c r="K5" s="6"/>
      <c r="L5" s="6"/>
      <c r="M5" s="6"/>
      <c r="N5" s="6"/>
      <c r="O5" s="6"/>
      <c r="P5" s="6"/>
      <c r="Q5" s="6"/>
      <c r="R5" s="6"/>
      <c r="S5" s="6"/>
      <c r="T5" s="6"/>
      <c r="U5" s="6"/>
      <c r="V5" s="6"/>
      <c r="W5" s="6"/>
      <c r="X5" s="6"/>
      <c r="Y5" s="6"/>
      <c r="Z5" s="6"/>
    </row>
    <row r="6" ht="14.25" customHeight="1">
      <c r="A6" s="8"/>
      <c r="B6" s="20" t="s">
        <v>17</v>
      </c>
      <c r="C6" s="11"/>
      <c r="D6" s="11"/>
      <c r="E6" s="12"/>
      <c r="F6" s="6"/>
      <c r="G6" s="6"/>
      <c r="H6" s="6"/>
      <c r="I6" s="6"/>
      <c r="J6" s="6"/>
      <c r="K6" s="6"/>
      <c r="L6" s="6"/>
      <c r="M6" s="6"/>
      <c r="N6" s="6"/>
      <c r="O6" s="6"/>
      <c r="P6" s="6"/>
      <c r="Q6" s="6"/>
      <c r="R6" s="6"/>
      <c r="S6" s="6"/>
      <c r="T6" s="6"/>
      <c r="U6" s="6"/>
      <c r="V6" s="6"/>
      <c r="W6" s="6"/>
      <c r="X6" s="6"/>
      <c r="Y6" s="6"/>
      <c r="Z6" s="6"/>
    </row>
    <row r="7" ht="14.25" customHeight="1">
      <c r="A7" s="8"/>
      <c r="B7" s="20" t="s">
        <v>41</v>
      </c>
      <c r="C7" s="11"/>
      <c r="D7" s="11"/>
      <c r="E7" s="12"/>
      <c r="F7" s="6"/>
      <c r="G7" s="6"/>
      <c r="H7" s="6"/>
      <c r="I7" s="6"/>
      <c r="J7" s="6"/>
      <c r="K7" s="6"/>
      <c r="L7" s="6"/>
      <c r="M7" s="6"/>
      <c r="N7" s="6"/>
      <c r="O7" s="6"/>
      <c r="P7" s="6"/>
      <c r="Q7" s="6"/>
      <c r="R7" s="6"/>
      <c r="S7" s="6"/>
      <c r="T7" s="6"/>
      <c r="U7" s="6"/>
      <c r="V7" s="6"/>
      <c r="W7" s="6"/>
      <c r="X7" s="6"/>
      <c r="Y7" s="6"/>
      <c r="Z7" s="6"/>
    </row>
    <row r="8" ht="14.25" customHeight="1">
      <c r="A8" s="8"/>
      <c r="B8" s="20" t="s">
        <v>43</v>
      </c>
      <c r="C8" s="11"/>
      <c r="D8" s="11"/>
      <c r="E8" s="12"/>
      <c r="F8" s="6"/>
      <c r="G8" s="6"/>
      <c r="H8" s="6"/>
      <c r="I8" s="6"/>
      <c r="J8" s="6"/>
      <c r="K8" s="6"/>
      <c r="L8" s="6"/>
      <c r="M8" s="6"/>
      <c r="N8" s="6"/>
      <c r="O8" s="6"/>
      <c r="P8" s="6"/>
      <c r="Q8" s="6"/>
      <c r="R8" s="6"/>
      <c r="S8" s="6"/>
      <c r="T8" s="6"/>
      <c r="U8" s="6"/>
      <c r="V8" s="6"/>
      <c r="W8" s="6"/>
      <c r="X8" s="6"/>
      <c r="Y8" s="6"/>
      <c r="Z8" s="6"/>
    </row>
    <row r="9" ht="14.25" customHeight="1">
      <c r="A9" s="8"/>
      <c r="B9" s="28"/>
      <c r="C9" s="11"/>
      <c r="D9" s="11"/>
      <c r="E9" s="12"/>
      <c r="F9" s="6"/>
      <c r="G9" s="6"/>
      <c r="H9" s="6"/>
      <c r="I9" s="6"/>
      <c r="J9" s="6"/>
      <c r="K9" s="6"/>
      <c r="L9" s="6"/>
      <c r="M9" s="6"/>
      <c r="N9" s="6"/>
      <c r="O9" s="6"/>
      <c r="P9" s="6"/>
      <c r="Q9" s="6"/>
      <c r="R9" s="6"/>
      <c r="S9" s="6"/>
      <c r="T9" s="6"/>
      <c r="U9" s="6"/>
      <c r="V9" s="6"/>
      <c r="W9" s="6"/>
      <c r="X9" s="6"/>
      <c r="Y9" s="6"/>
      <c r="Z9" s="6"/>
    </row>
    <row r="10" ht="14.25" customHeight="1">
      <c r="A10" s="8"/>
      <c r="B10" s="28"/>
      <c r="C10" s="11"/>
      <c r="D10" s="12"/>
      <c r="E10" s="31" t="s">
        <v>40</v>
      </c>
      <c r="F10" s="6"/>
      <c r="G10" s="6"/>
      <c r="H10" s="6"/>
      <c r="I10" s="6"/>
      <c r="J10" s="6"/>
      <c r="K10" s="6"/>
      <c r="L10" s="6"/>
      <c r="M10" s="6"/>
      <c r="N10" s="6"/>
      <c r="O10" s="6"/>
      <c r="P10" s="6"/>
      <c r="Q10" s="6"/>
      <c r="R10" s="6"/>
      <c r="S10" s="6"/>
      <c r="T10" s="6"/>
      <c r="U10" s="6"/>
      <c r="V10" s="6"/>
      <c r="W10" s="6"/>
      <c r="X10" s="6"/>
      <c r="Y10" s="6"/>
      <c r="Z10" s="6"/>
    </row>
    <row r="11" ht="14.25" customHeight="1">
      <c r="A11" s="8"/>
      <c r="B11" s="32" t="s">
        <v>42</v>
      </c>
      <c r="C11" s="11"/>
      <c r="D11" s="12"/>
      <c r="E11" s="36">
        <f>'Salary Sheet - Data Field'!D9</f>
        <v>46500</v>
      </c>
      <c r="F11" s="6"/>
      <c r="G11" s="6"/>
      <c r="H11" s="6"/>
      <c r="I11" s="6"/>
      <c r="J11" s="6"/>
      <c r="K11" s="6"/>
      <c r="L11" s="6"/>
      <c r="M11" s="6"/>
      <c r="N11" s="6"/>
      <c r="O11" s="6"/>
      <c r="P11" s="6"/>
      <c r="Q11" s="6"/>
      <c r="R11" s="6"/>
      <c r="S11" s="6"/>
      <c r="T11" s="6"/>
      <c r="U11" s="6"/>
      <c r="V11" s="6"/>
      <c r="W11" s="6"/>
      <c r="X11" s="6"/>
      <c r="Y11" s="6"/>
      <c r="Z11" s="6"/>
    </row>
    <row r="12" ht="14.25" customHeight="1">
      <c r="A12" s="8"/>
      <c r="B12" s="32" t="s">
        <v>44</v>
      </c>
      <c r="C12" s="11"/>
      <c r="D12" s="12"/>
      <c r="E12" s="36">
        <f>'Salary Sheet - Data Field'!E9</f>
        <v>3500</v>
      </c>
      <c r="F12" s="6"/>
      <c r="G12" s="6"/>
      <c r="H12" s="6"/>
      <c r="I12" s="6"/>
      <c r="J12" s="6"/>
      <c r="K12" s="6"/>
      <c r="L12" s="6"/>
      <c r="M12" s="6"/>
      <c r="N12" s="6"/>
      <c r="O12" s="6"/>
      <c r="P12" s="6"/>
      <c r="Q12" s="6"/>
      <c r="R12" s="6"/>
      <c r="S12" s="6"/>
      <c r="T12" s="6"/>
      <c r="U12" s="6"/>
      <c r="V12" s="6"/>
      <c r="W12" s="6"/>
      <c r="X12" s="6"/>
      <c r="Y12" s="6"/>
      <c r="Z12" s="6"/>
    </row>
    <row r="13" ht="14.25" customHeight="1">
      <c r="A13" s="8"/>
      <c r="B13" s="32" t="s">
        <v>46</v>
      </c>
      <c r="C13" s="11"/>
      <c r="D13" s="12"/>
      <c r="E13" s="36">
        <f>'Salary Sheet - Data Field'!G9</f>
        <v>25000</v>
      </c>
      <c r="F13" s="6"/>
      <c r="G13" s="6"/>
      <c r="H13" s="6"/>
      <c r="I13" s="6"/>
      <c r="J13" s="6"/>
      <c r="K13" s="6"/>
      <c r="L13" s="6"/>
      <c r="M13" s="6"/>
      <c r="N13" s="6"/>
      <c r="O13" s="6"/>
      <c r="P13" s="6"/>
      <c r="Q13" s="6"/>
      <c r="R13" s="6"/>
      <c r="S13" s="6"/>
      <c r="T13" s="6"/>
      <c r="U13" s="6"/>
      <c r="V13" s="6"/>
      <c r="W13" s="6"/>
      <c r="X13" s="6"/>
      <c r="Y13" s="6"/>
      <c r="Z13" s="6"/>
    </row>
    <row r="14" ht="14.25" customHeight="1">
      <c r="A14" s="8"/>
      <c r="B14" s="32" t="s">
        <v>48</v>
      </c>
      <c r="C14" s="11"/>
      <c r="D14" s="12"/>
      <c r="E14" s="36">
        <f>'Salary Sheet - Data Field'!I9</f>
        <v>10000</v>
      </c>
      <c r="F14" s="6"/>
      <c r="G14" s="6"/>
      <c r="H14" s="6"/>
      <c r="I14" s="6"/>
      <c r="J14" s="6"/>
      <c r="K14" s="6"/>
      <c r="L14" s="6"/>
      <c r="M14" s="6"/>
      <c r="N14" s="6"/>
      <c r="O14" s="6"/>
      <c r="P14" s="6"/>
      <c r="Q14" s="6"/>
      <c r="R14" s="6"/>
      <c r="S14" s="6"/>
      <c r="T14" s="6"/>
      <c r="U14" s="6"/>
      <c r="V14" s="6"/>
      <c r="W14" s="6"/>
      <c r="X14" s="6"/>
      <c r="Y14" s="6"/>
      <c r="Z14" s="6"/>
    </row>
    <row r="15" ht="14.25" customHeight="1">
      <c r="A15" s="8"/>
      <c r="B15" s="28"/>
      <c r="C15" s="11"/>
      <c r="D15" s="12"/>
      <c r="E15" s="36"/>
      <c r="F15" s="6"/>
      <c r="G15" s="6"/>
      <c r="H15" s="6"/>
      <c r="I15" s="6"/>
      <c r="J15" s="6"/>
      <c r="K15" s="6"/>
      <c r="L15" s="6"/>
      <c r="M15" s="6"/>
      <c r="N15" s="6"/>
      <c r="O15" s="6"/>
      <c r="P15" s="6"/>
      <c r="Q15" s="6"/>
      <c r="R15" s="6"/>
      <c r="S15" s="6"/>
      <c r="T15" s="6"/>
      <c r="U15" s="6"/>
      <c r="V15" s="6"/>
      <c r="W15" s="6"/>
      <c r="X15" s="6"/>
      <c r="Y15" s="6"/>
      <c r="Z15" s="6"/>
    </row>
    <row r="16" ht="14.25" customHeight="1">
      <c r="A16" s="8"/>
      <c r="B16" s="32" t="s">
        <v>50</v>
      </c>
      <c r="C16" s="11"/>
      <c r="D16" s="12"/>
      <c r="E16" s="36">
        <v>0.0</v>
      </c>
      <c r="F16" s="6"/>
      <c r="G16" s="6"/>
      <c r="H16" s="6"/>
      <c r="I16" s="6"/>
      <c r="J16" s="6"/>
      <c r="K16" s="6"/>
      <c r="L16" s="6"/>
      <c r="M16" s="6"/>
      <c r="N16" s="6"/>
      <c r="O16" s="6"/>
      <c r="P16" s="6"/>
      <c r="Q16" s="6"/>
      <c r="R16" s="6"/>
      <c r="S16" s="6"/>
      <c r="T16" s="6"/>
      <c r="U16" s="6"/>
      <c r="V16" s="6"/>
      <c r="W16" s="6"/>
      <c r="X16" s="6"/>
      <c r="Y16" s="6"/>
      <c r="Z16" s="6"/>
    </row>
    <row r="17" ht="14.25" customHeight="1">
      <c r="A17" s="8"/>
      <c r="B17" s="32" t="s">
        <v>52</v>
      </c>
      <c r="C17" s="11"/>
      <c r="D17" s="12"/>
      <c r="E17" s="36">
        <v>0.0</v>
      </c>
      <c r="F17" s="6"/>
      <c r="G17" s="6"/>
      <c r="H17" s="6"/>
      <c r="I17" s="6"/>
      <c r="J17" s="6"/>
      <c r="K17" s="6"/>
      <c r="L17" s="6"/>
      <c r="M17" s="6"/>
      <c r="N17" s="6"/>
      <c r="O17" s="6"/>
      <c r="P17" s="6"/>
      <c r="Q17" s="6"/>
      <c r="R17" s="6"/>
      <c r="S17" s="6"/>
      <c r="T17" s="6"/>
      <c r="U17" s="6"/>
      <c r="V17" s="6"/>
      <c r="W17" s="6"/>
      <c r="X17" s="6"/>
      <c r="Y17" s="6"/>
      <c r="Z17" s="6"/>
    </row>
    <row r="18" ht="14.25" customHeight="1">
      <c r="A18" s="8"/>
      <c r="B18" s="43"/>
      <c r="C18" s="11"/>
      <c r="D18" s="12"/>
      <c r="E18" s="36"/>
      <c r="F18" s="6"/>
      <c r="G18" s="6"/>
      <c r="H18" s="6"/>
      <c r="I18" s="6"/>
      <c r="J18" s="6"/>
      <c r="K18" s="6"/>
      <c r="L18" s="6"/>
      <c r="M18" s="6"/>
      <c r="N18" s="6"/>
      <c r="O18" s="6"/>
      <c r="P18" s="6"/>
      <c r="Q18" s="6"/>
      <c r="R18" s="6"/>
      <c r="S18" s="6"/>
      <c r="T18" s="6"/>
      <c r="U18" s="6"/>
      <c r="V18" s="6"/>
      <c r="W18" s="6"/>
      <c r="X18" s="6"/>
      <c r="Y18" s="6"/>
      <c r="Z18" s="6"/>
    </row>
    <row r="19" ht="14.25" customHeight="1">
      <c r="A19" s="8"/>
      <c r="B19" s="20" t="s">
        <v>54</v>
      </c>
      <c r="C19" s="11"/>
      <c r="D19" s="12"/>
      <c r="E19" s="45">
        <f>SUM(E11:E18)</f>
        <v>85000</v>
      </c>
      <c r="F19" s="6"/>
      <c r="G19" s="6"/>
      <c r="H19" s="6"/>
      <c r="I19" s="6"/>
      <c r="J19" s="6"/>
      <c r="K19" s="6"/>
      <c r="L19" s="6"/>
      <c r="M19" s="6"/>
      <c r="N19" s="6"/>
      <c r="O19" s="6"/>
      <c r="P19" s="6"/>
      <c r="Q19" s="6"/>
      <c r="R19" s="6"/>
      <c r="S19" s="6"/>
      <c r="T19" s="6"/>
      <c r="U19" s="6"/>
      <c r="V19" s="6"/>
      <c r="W19" s="6"/>
      <c r="X19" s="6"/>
      <c r="Y19" s="6"/>
      <c r="Z19" s="6"/>
    </row>
    <row r="20" ht="14.25" customHeight="1">
      <c r="A20" s="8"/>
      <c r="B20" s="43"/>
      <c r="C20" s="11"/>
      <c r="D20" s="12"/>
      <c r="E20" s="36"/>
      <c r="F20" s="6"/>
      <c r="G20" s="6"/>
      <c r="H20" s="6"/>
      <c r="I20" s="6"/>
      <c r="J20" s="6"/>
      <c r="K20" s="6"/>
      <c r="L20" s="6"/>
      <c r="M20" s="6"/>
      <c r="N20" s="6"/>
      <c r="O20" s="6"/>
      <c r="P20" s="6"/>
      <c r="Q20" s="6"/>
      <c r="R20" s="6"/>
      <c r="S20" s="6"/>
      <c r="T20" s="6"/>
      <c r="U20" s="6"/>
      <c r="V20" s="6"/>
      <c r="W20" s="6"/>
      <c r="X20" s="6"/>
      <c r="Y20" s="6"/>
      <c r="Z20" s="6"/>
    </row>
    <row r="21" ht="14.25" customHeight="1">
      <c r="A21" s="8"/>
      <c r="B21" s="20" t="s">
        <v>56</v>
      </c>
      <c r="C21" s="11"/>
      <c r="D21" s="12"/>
      <c r="E21" s="36"/>
      <c r="F21" s="6"/>
      <c r="G21" s="6"/>
      <c r="H21" s="6"/>
      <c r="I21" s="6"/>
      <c r="J21" s="6"/>
      <c r="K21" s="6"/>
      <c r="L21" s="6"/>
      <c r="M21" s="6"/>
      <c r="N21" s="6"/>
      <c r="O21" s="6"/>
      <c r="P21" s="6"/>
      <c r="Q21" s="6"/>
      <c r="R21" s="6"/>
      <c r="S21" s="6"/>
      <c r="T21" s="6"/>
      <c r="U21" s="6"/>
      <c r="V21" s="6"/>
      <c r="W21" s="6"/>
      <c r="X21" s="6"/>
      <c r="Y21" s="6"/>
      <c r="Z21" s="6"/>
    </row>
    <row r="22" ht="14.25" customHeight="1">
      <c r="A22" s="8"/>
      <c r="B22" s="32" t="s">
        <v>58</v>
      </c>
      <c r="C22" s="11"/>
      <c r="D22" s="12"/>
      <c r="E22" s="36">
        <f>'Salary Sheet - Data Field'!K9</f>
        <v>4000</v>
      </c>
      <c r="F22" s="6"/>
      <c r="G22" s="6"/>
      <c r="H22" s="6"/>
      <c r="I22" s="6"/>
      <c r="J22" s="6"/>
      <c r="K22" s="6"/>
      <c r="L22" s="6"/>
      <c r="M22" s="6"/>
      <c r="N22" s="6"/>
      <c r="O22" s="6"/>
      <c r="P22" s="6"/>
      <c r="Q22" s="6"/>
      <c r="R22" s="6"/>
      <c r="S22" s="6"/>
      <c r="T22" s="6"/>
      <c r="U22" s="6"/>
      <c r="V22" s="6"/>
      <c r="W22" s="6"/>
      <c r="X22" s="6"/>
      <c r="Y22" s="6"/>
      <c r="Z22" s="6"/>
    </row>
    <row r="23" ht="14.25" customHeight="1">
      <c r="A23" s="8"/>
      <c r="B23" s="32" t="s">
        <v>59</v>
      </c>
      <c r="C23" s="11"/>
      <c r="D23" s="12"/>
      <c r="E23" s="36">
        <f>'Salary Sheet - Data Field'!M9</f>
        <v>25</v>
      </c>
      <c r="F23" s="6"/>
      <c r="G23" s="6"/>
      <c r="H23" s="6"/>
      <c r="I23" s="6"/>
      <c r="J23" s="6"/>
      <c r="K23" s="6"/>
      <c r="L23" s="6"/>
      <c r="M23" s="6"/>
      <c r="N23" s="6"/>
      <c r="O23" s="6"/>
      <c r="P23" s="6"/>
      <c r="Q23" s="6"/>
      <c r="R23" s="6"/>
      <c r="S23" s="6"/>
      <c r="T23" s="6"/>
      <c r="U23" s="6"/>
      <c r="V23" s="6"/>
      <c r="W23" s="6"/>
      <c r="X23" s="6"/>
      <c r="Y23" s="6"/>
      <c r="Z23" s="6"/>
    </row>
    <row r="24" ht="14.25" customHeight="1">
      <c r="A24" s="8"/>
      <c r="B24" s="20" t="s">
        <v>60</v>
      </c>
      <c r="C24" s="11"/>
      <c r="D24" s="12"/>
      <c r="E24" s="45">
        <f>SUM(E22:E23)</f>
        <v>4025</v>
      </c>
      <c r="F24" s="6"/>
      <c r="G24" s="6"/>
      <c r="H24" s="6"/>
      <c r="I24" s="6"/>
      <c r="J24" s="6"/>
      <c r="K24" s="6"/>
      <c r="L24" s="6"/>
      <c r="M24" s="6"/>
      <c r="N24" s="6"/>
      <c r="O24" s="6"/>
      <c r="P24" s="6"/>
      <c r="Q24" s="6"/>
      <c r="R24" s="6"/>
      <c r="S24" s="6"/>
      <c r="T24" s="6"/>
      <c r="U24" s="6"/>
      <c r="V24" s="6"/>
      <c r="W24" s="6"/>
      <c r="X24" s="6"/>
      <c r="Y24" s="6"/>
      <c r="Z24" s="6"/>
    </row>
    <row r="25" ht="14.25" customHeight="1">
      <c r="A25" s="8"/>
      <c r="B25" s="43"/>
      <c r="C25" s="11"/>
      <c r="D25" s="12"/>
      <c r="E25" s="36"/>
      <c r="F25" s="6"/>
      <c r="G25" s="6"/>
      <c r="H25" s="6"/>
      <c r="I25" s="6"/>
      <c r="J25" s="6"/>
      <c r="K25" s="6"/>
      <c r="L25" s="6"/>
      <c r="M25" s="6"/>
      <c r="N25" s="6"/>
      <c r="O25" s="6"/>
      <c r="P25" s="6"/>
      <c r="Q25" s="6"/>
      <c r="R25" s="6"/>
      <c r="S25" s="6"/>
      <c r="T25" s="6"/>
      <c r="U25" s="6"/>
      <c r="V25" s="6"/>
      <c r="W25" s="6"/>
      <c r="X25" s="6"/>
      <c r="Y25" s="6"/>
      <c r="Z25" s="6"/>
    </row>
    <row r="26" ht="14.25" customHeight="1">
      <c r="A26" s="8"/>
      <c r="B26" s="20" t="s">
        <v>61</v>
      </c>
      <c r="C26" s="11"/>
      <c r="D26" s="12"/>
      <c r="E26" s="45">
        <f>E19-E24</f>
        <v>80975</v>
      </c>
      <c r="F26" s="6"/>
      <c r="G26" s="6"/>
      <c r="H26" s="6"/>
      <c r="I26" s="6"/>
      <c r="J26" s="6"/>
      <c r="K26" s="6"/>
      <c r="L26" s="6"/>
      <c r="M26" s="6"/>
      <c r="N26" s="6"/>
      <c r="O26" s="6"/>
      <c r="P26" s="6"/>
      <c r="Q26" s="6"/>
      <c r="R26" s="6"/>
      <c r="S26" s="6"/>
      <c r="T26" s="6"/>
      <c r="U26" s="6"/>
      <c r="V26" s="6"/>
      <c r="W26" s="6"/>
      <c r="X26" s="6"/>
      <c r="Y26" s="6"/>
      <c r="Z26" s="6"/>
    </row>
    <row r="27" ht="14.25" customHeight="1">
      <c r="A27" s="8"/>
      <c r="B27" s="43"/>
      <c r="C27" s="11"/>
      <c r="D27" s="12"/>
      <c r="E27" s="36"/>
      <c r="F27" s="6"/>
      <c r="G27" s="6"/>
      <c r="H27" s="6"/>
      <c r="I27" s="6"/>
      <c r="J27" s="6"/>
      <c r="K27" s="6"/>
      <c r="L27" s="6"/>
      <c r="M27" s="6"/>
      <c r="N27" s="6"/>
      <c r="O27" s="6"/>
      <c r="P27" s="6"/>
      <c r="Q27" s="6"/>
      <c r="R27" s="6"/>
      <c r="S27" s="6"/>
      <c r="T27" s="6"/>
      <c r="U27" s="6"/>
      <c r="V27" s="6"/>
      <c r="W27" s="6"/>
      <c r="X27" s="6"/>
      <c r="Y27" s="6"/>
      <c r="Z27" s="6"/>
    </row>
    <row r="28" ht="14.25" customHeight="1">
      <c r="A28" s="8"/>
      <c r="B28" s="32" t="s">
        <v>64</v>
      </c>
      <c r="C28" s="11"/>
      <c r="D28" s="12"/>
      <c r="E28" s="36">
        <f>'Salary Sheet - Data Field'!Q9</f>
        <v>6000</v>
      </c>
      <c r="F28" s="6"/>
      <c r="G28" s="6"/>
      <c r="H28" s="6"/>
      <c r="I28" s="6"/>
      <c r="J28" s="6"/>
      <c r="K28" s="6"/>
      <c r="L28" s="6"/>
      <c r="M28" s="6"/>
      <c r="N28" s="6"/>
      <c r="O28" s="6"/>
      <c r="P28" s="6"/>
      <c r="Q28" s="6"/>
      <c r="R28" s="6"/>
      <c r="S28" s="6"/>
      <c r="T28" s="6"/>
      <c r="U28" s="6"/>
      <c r="V28" s="6"/>
      <c r="W28" s="6"/>
      <c r="X28" s="6"/>
      <c r="Y28" s="6"/>
      <c r="Z28" s="6"/>
    </row>
    <row r="29" ht="14.25" customHeight="1">
      <c r="A29" s="8"/>
      <c r="B29" s="43"/>
      <c r="C29" s="11"/>
      <c r="D29" s="12"/>
      <c r="E29" s="36"/>
      <c r="F29" s="6"/>
      <c r="G29" s="6"/>
      <c r="H29" s="6"/>
      <c r="I29" s="6"/>
      <c r="J29" s="6"/>
      <c r="K29" s="6"/>
      <c r="L29" s="6"/>
      <c r="M29" s="6"/>
      <c r="N29" s="6"/>
      <c r="O29" s="6"/>
      <c r="P29" s="6"/>
      <c r="Q29" s="6"/>
      <c r="R29" s="6"/>
      <c r="S29" s="6"/>
      <c r="T29" s="6"/>
      <c r="U29" s="6"/>
      <c r="V29" s="6"/>
      <c r="W29" s="6"/>
      <c r="X29" s="6"/>
      <c r="Y29" s="6"/>
      <c r="Z29" s="6"/>
    </row>
    <row r="30" ht="14.25" customHeight="1">
      <c r="A30" s="8"/>
      <c r="B30" s="32" t="s">
        <v>65</v>
      </c>
      <c r="C30" s="11"/>
      <c r="D30" s="12"/>
      <c r="E30" s="36">
        <f>'Salary Sheet - Data Field'!R9</f>
        <v>1500</v>
      </c>
      <c r="F30" s="6"/>
      <c r="G30" s="6"/>
      <c r="H30" s="6"/>
      <c r="I30" s="6"/>
      <c r="J30" s="6"/>
      <c r="K30" s="6"/>
      <c r="L30" s="6"/>
      <c r="M30" s="6"/>
      <c r="N30" s="6"/>
      <c r="O30" s="6"/>
      <c r="P30" s="6"/>
      <c r="Q30" s="6"/>
      <c r="R30" s="6"/>
      <c r="S30" s="6"/>
      <c r="T30" s="6"/>
      <c r="U30" s="6"/>
      <c r="V30" s="6"/>
      <c r="W30" s="6"/>
      <c r="X30" s="6"/>
      <c r="Y30" s="6"/>
      <c r="Z30" s="6"/>
    </row>
    <row r="31" ht="14.25" customHeight="1">
      <c r="A31" s="8"/>
      <c r="B31" s="28"/>
      <c r="C31" s="11"/>
      <c r="D31" s="11"/>
      <c r="E31" s="12"/>
      <c r="F31" s="6"/>
      <c r="G31" s="6"/>
      <c r="H31" s="6"/>
      <c r="I31" s="6"/>
      <c r="J31" s="6"/>
      <c r="K31" s="6"/>
      <c r="L31" s="6"/>
      <c r="M31" s="6"/>
      <c r="N31" s="6"/>
      <c r="O31" s="6"/>
      <c r="P31" s="6"/>
      <c r="Q31" s="6"/>
      <c r="R31" s="6"/>
      <c r="S31" s="6"/>
      <c r="T31" s="6"/>
      <c r="U31" s="6"/>
      <c r="V31" s="6"/>
      <c r="W31" s="6"/>
      <c r="X31" s="6"/>
      <c r="Y31" s="6"/>
      <c r="Z31" s="6"/>
    </row>
    <row r="32" ht="14.25" customHeight="1">
      <c r="A32" s="8"/>
      <c r="B32" s="47" t="s">
        <v>70</v>
      </c>
      <c r="C32" s="48"/>
      <c r="D32" s="49"/>
      <c r="E32" s="50" t="s">
        <v>67</v>
      </c>
      <c r="F32" s="6"/>
      <c r="G32" s="6"/>
      <c r="H32" s="6"/>
      <c r="I32" s="6"/>
      <c r="J32" s="6"/>
      <c r="K32" s="6"/>
      <c r="L32" s="6"/>
      <c r="M32" s="6"/>
      <c r="N32" s="6"/>
      <c r="O32" s="6"/>
      <c r="P32" s="6"/>
      <c r="Q32" s="6"/>
      <c r="R32" s="6"/>
      <c r="S32" s="6"/>
      <c r="T32" s="6"/>
      <c r="U32" s="6"/>
      <c r="V32" s="6"/>
      <c r="W32" s="6"/>
      <c r="X32" s="6"/>
      <c r="Y32" s="6"/>
      <c r="Z32" s="6"/>
    </row>
    <row r="33" ht="14.25" customHeight="1">
      <c r="A33" s="8"/>
      <c r="B33" s="47" t="s">
        <v>68</v>
      </c>
      <c r="C33" s="51"/>
      <c r="D33" s="52"/>
      <c r="E33" s="47" t="s">
        <v>69</v>
      </c>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0">
    <mergeCell ref="B2:E2"/>
    <mergeCell ref="B3:E3"/>
    <mergeCell ref="B4:E4"/>
    <mergeCell ref="B6:E6"/>
    <mergeCell ref="B7:E7"/>
    <mergeCell ref="B8:E8"/>
    <mergeCell ref="B9:E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31:E31"/>
    <mergeCell ref="C32:D33"/>
    <mergeCell ref="B24:D24"/>
    <mergeCell ref="B25:D25"/>
    <mergeCell ref="B26:D26"/>
    <mergeCell ref="B27:D27"/>
    <mergeCell ref="B28:D28"/>
    <mergeCell ref="B29:D29"/>
    <mergeCell ref="B30:D30"/>
  </mergeCells>
  <hyperlinks>
    <hyperlink r:id="rId1" ref="B4"/>
  </hyperlinks>
  <printOptions/>
  <pageMargins bottom="0.75" footer="0.0" header="0.0" left="0.7" right="0.7" top="0.75"/>
  <pageSetup orientation="portrait"/>
  <headerFooter>
    <oddFooter>&amp;C000000&amp;P</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12.43"/>
    <col customWidth="1" min="3" max="4" width="8.86"/>
    <col customWidth="1" min="5" max="5" width="15.0"/>
    <col customWidth="1" min="6" max="26" width="8.86"/>
  </cols>
  <sheetData>
    <row r="1" ht="13.5" customHeight="1">
      <c r="A1" s="3"/>
      <c r="B1" s="4"/>
      <c r="C1" s="4"/>
      <c r="D1" s="4"/>
      <c r="E1" s="4"/>
      <c r="F1" s="6"/>
      <c r="G1" s="6"/>
      <c r="H1" s="6"/>
      <c r="I1" s="6"/>
      <c r="J1" s="6"/>
      <c r="K1" s="6"/>
      <c r="L1" s="6"/>
      <c r="M1" s="6"/>
      <c r="N1" s="6"/>
      <c r="O1" s="6"/>
      <c r="P1" s="6"/>
      <c r="Q1" s="6"/>
      <c r="R1" s="6"/>
      <c r="S1" s="6"/>
      <c r="T1" s="6"/>
      <c r="U1" s="6"/>
      <c r="V1" s="6"/>
      <c r="W1" s="6"/>
      <c r="X1" s="6"/>
      <c r="Y1" s="6"/>
      <c r="Z1" s="6"/>
    </row>
    <row r="2" ht="14.25" customHeight="1">
      <c r="A2" s="8"/>
      <c r="B2" s="9" t="s">
        <v>6</v>
      </c>
      <c r="C2" s="11"/>
      <c r="D2" s="11"/>
      <c r="E2" s="12"/>
      <c r="F2" s="6"/>
      <c r="G2" s="6"/>
      <c r="H2" s="6"/>
      <c r="I2" s="6"/>
      <c r="J2" s="6"/>
      <c r="K2" s="6"/>
      <c r="L2" s="6"/>
      <c r="M2" s="6"/>
      <c r="N2" s="6"/>
      <c r="O2" s="6"/>
      <c r="P2" s="6"/>
      <c r="Q2" s="6"/>
      <c r="R2" s="6"/>
      <c r="S2" s="6"/>
      <c r="T2" s="6"/>
      <c r="U2" s="6"/>
      <c r="V2" s="6"/>
      <c r="W2" s="6"/>
      <c r="X2" s="6"/>
      <c r="Y2" s="6"/>
      <c r="Z2" s="6"/>
    </row>
    <row r="3" ht="14.25" customHeight="1">
      <c r="A3" s="8"/>
      <c r="B3" s="9" t="s">
        <v>10</v>
      </c>
      <c r="C3" s="11"/>
      <c r="D3" s="11"/>
      <c r="E3" s="12"/>
      <c r="F3" s="6"/>
      <c r="G3" s="6"/>
      <c r="H3" s="6"/>
      <c r="I3" s="6"/>
      <c r="J3" s="6"/>
      <c r="K3" s="6"/>
      <c r="L3" s="6"/>
      <c r="M3" s="6"/>
      <c r="N3" s="6"/>
      <c r="O3" s="6"/>
      <c r="P3" s="6"/>
      <c r="Q3" s="6"/>
      <c r="R3" s="6"/>
      <c r="S3" s="6"/>
      <c r="T3" s="6"/>
      <c r="U3" s="6"/>
      <c r="V3" s="6"/>
      <c r="W3" s="6"/>
      <c r="X3" s="6"/>
      <c r="Y3" s="6"/>
      <c r="Z3" s="6"/>
    </row>
    <row r="4" ht="14.25" customHeight="1">
      <c r="A4" s="8"/>
      <c r="B4" s="14" t="s">
        <v>12</v>
      </c>
      <c r="C4" s="11"/>
      <c r="D4" s="11"/>
      <c r="E4" s="12"/>
      <c r="F4" s="6"/>
      <c r="G4" s="6"/>
      <c r="H4" s="6"/>
      <c r="I4" s="6"/>
      <c r="J4" s="6"/>
      <c r="K4" s="6"/>
      <c r="L4" s="6"/>
      <c r="M4" s="6"/>
      <c r="N4" s="6"/>
      <c r="O4" s="6"/>
      <c r="P4" s="6"/>
      <c r="Q4" s="6"/>
      <c r="R4" s="6"/>
      <c r="S4" s="6"/>
      <c r="T4" s="6"/>
      <c r="U4" s="6"/>
      <c r="V4" s="6"/>
      <c r="W4" s="6"/>
      <c r="X4" s="6"/>
      <c r="Y4" s="6"/>
      <c r="Z4" s="6"/>
    </row>
    <row r="5" ht="14.25" customHeight="1">
      <c r="A5" s="8"/>
      <c r="B5" s="15" t="s">
        <v>15</v>
      </c>
      <c r="C5" s="16"/>
      <c r="D5" s="16"/>
      <c r="E5" s="16"/>
      <c r="F5" s="6"/>
      <c r="G5" s="6"/>
      <c r="H5" s="6"/>
      <c r="I5" s="6"/>
      <c r="J5" s="6"/>
      <c r="K5" s="6"/>
      <c r="L5" s="6"/>
      <c r="M5" s="6"/>
      <c r="N5" s="6"/>
      <c r="O5" s="6"/>
      <c r="P5" s="6"/>
      <c r="Q5" s="6"/>
      <c r="R5" s="6"/>
      <c r="S5" s="6"/>
      <c r="T5" s="6"/>
      <c r="U5" s="6"/>
      <c r="V5" s="6"/>
      <c r="W5" s="6"/>
      <c r="X5" s="6"/>
      <c r="Y5" s="6"/>
      <c r="Z5" s="6"/>
    </row>
    <row r="6" ht="14.25" customHeight="1">
      <c r="A6" s="8"/>
      <c r="B6" s="20" t="s">
        <v>17</v>
      </c>
      <c r="C6" s="11"/>
      <c r="D6" s="11"/>
      <c r="E6" s="12"/>
      <c r="F6" s="6"/>
      <c r="G6" s="6"/>
      <c r="H6" s="6"/>
      <c r="I6" s="6"/>
      <c r="J6" s="6"/>
      <c r="K6" s="6"/>
      <c r="L6" s="6"/>
      <c r="M6" s="6"/>
      <c r="N6" s="6"/>
      <c r="O6" s="6"/>
      <c r="P6" s="6"/>
      <c r="Q6" s="6"/>
      <c r="R6" s="6"/>
      <c r="S6" s="6"/>
      <c r="T6" s="6"/>
      <c r="U6" s="6"/>
      <c r="V6" s="6"/>
      <c r="W6" s="6"/>
      <c r="X6" s="6"/>
      <c r="Y6" s="6"/>
      <c r="Z6" s="6"/>
    </row>
    <row r="7" ht="14.25" customHeight="1">
      <c r="A7" s="8"/>
      <c r="B7" s="20" t="s">
        <v>20</v>
      </c>
      <c r="C7" s="11"/>
      <c r="D7" s="11"/>
      <c r="E7" s="12"/>
      <c r="F7" s="6"/>
      <c r="G7" s="6"/>
      <c r="H7" s="6"/>
      <c r="I7" s="6"/>
      <c r="J7" s="6"/>
      <c r="K7" s="6"/>
      <c r="L7" s="6"/>
      <c r="M7" s="6"/>
      <c r="N7" s="6"/>
      <c r="O7" s="6"/>
      <c r="P7" s="6"/>
      <c r="Q7" s="6"/>
      <c r="R7" s="6"/>
      <c r="S7" s="6"/>
      <c r="T7" s="6"/>
      <c r="U7" s="6"/>
      <c r="V7" s="6"/>
      <c r="W7" s="6"/>
      <c r="X7" s="6"/>
      <c r="Y7" s="6"/>
      <c r="Z7" s="6"/>
    </row>
    <row r="8" ht="14.25" customHeight="1">
      <c r="A8" s="8"/>
      <c r="B8" s="20" t="str">
        <f>B.G.A.D.Basnayaka!B8</f>
        <v>Month :             July - 2022</v>
      </c>
      <c r="C8" s="11"/>
      <c r="D8" s="11"/>
      <c r="E8" s="12"/>
      <c r="F8" s="6"/>
      <c r="G8" s="6"/>
      <c r="H8" s="6"/>
      <c r="I8" s="6"/>
      <c r="J8" s="6"/>
      <c r="K8" s="6"/>
      <c r="L8" s="6"/>
      <c r="M8" s="6"/>
      <c r="N8" s="6"/>
      <c r="O8" s="6"/>
      <c r="P8" s="6"/>
      <c r="Q8" s="6"/>
      <c r="R8" s="6"/>
      <c r="S8" s="6"/>
      <c r="T8" s="6"/>
      <c r="U8" s="6"/>
      <c r="V8" s="6"/>
      <c r="W8" s="6"/>
      <c r="X8" s="6"/>
      <c r="Y8" s="6"/>
      <c r="Z8" s="6"/>
    </row>
    <row r="9" ht="14.25" customHeight="1">
      <c r="A9" s="8"/>
      <c r="B9" s="28"/>
      <c r="C9" s="11"/>
      <c r="D9" s="11"/>
      <c r="E9" s="12"/>
      <c r="F9" s="6"/>
      <c r="G9" s="6"/>
      <c r="H9" s="6"/>
      <c r="I9" s="6"/>
      <c r="J9" s="6"/>
      <c r="K9" s="6"/>
      <c r="L9" s="6"/>
      <c r="M9" s="6"/>
      <c r="N9" s="6"/>
      <c r="O9" s="6"/>
      <c r="P9" s="6"/>
      <c r="Q9" s="6"/>
      <c r="R9" s="6"/>
      <c r="S9" s="6"/>
      <c r="T9" s="6"/>
      <c r="U9" s="6"/>
      <c r="V9" s="6"/>
      <c r="W9" s="6"/>
      <c r="X9" s="6"/>
      <c r="Y9" s="6"/>
      <c r="Z9" s="6"/>
    </row>
    <row r="10" ht="14.25" customHeight="1">
      <c r="A10" s="8"/>
      <c r="B10" s="28"/>
      <c r="C10" s="11"/>
      <c r="D10" s="12"/>
      <c r="E10" s="31" t="s">
        <v>40</v>
      </c>
      <c r="F10" s="6"/>
      <c r="G10" s="6"/>
      <c r="H10" s="6"/>
      <c r="I10" s="6"/>
      <c r="J10" s="6"/>
      <c r="K10" s="6"/>
      <c r="L10" s="6"/>
      <c r="M10" s="6"/>
      <c r="N10" s="6"/>
      <c r="O10" s="6"/>
      <c r="P10" s="6"/>
      <c r="Q10" s="6"/>
      <c r="R10" s="6"/>
      <c r="S10" s="6"/>
      <c r="T10" s="6"/>
      <c r="U10" s="6"/>
      <c r="V10" s="6"/>
      <c r="W10" s="6"/>
      <c r="X10" s="6"/>
      <c r="Y10" s="6"/>
      <c r="Z10" s="6"/>
    </row>
    <row r="11" ht="14.25" customHeight="1">
      <c r="A11" s="8"/>
      <c r="B11" s="32" t="s">
        <v>42</v>
      </c>
      <c r="C11" s="11"/>
      <c r="D11" s="12"/>
      <c r="E11" s="36">
        <f>'Salary Sheet - Data Field'!D12</f>
        <v>46500</v>
      </c>
      <c r="F11" s="6"/>
      <c r="G11" s="6"/>
      <c r="H11" s="6"/>
      <c r="I11" s="6"/>
      <c r="J11" s="6"/>
      <c r="K11" s="6"/>
      <c r="L11" s="6"/>
      <c r="M11" s="6"/>
      <c r="N11" s="6"/>
      <c r="O11" s="6"/>
      <c r="P11" s="6"/>
      <c r="Q11" s="6"/>
      <c r="R11" s="6"/>
      <c r="S11" s="6"/>
      <c r="T11" s="6"/>
      <c r="U11" s="6"/>
      <c r="V11" s="6"/>
      <c r="W11" s="6"/>
      <c r="X11" s="6"/>
      <c r="Y11" s="6"/>
      <c r="Z11" s="6"/>
    </row>
    <row r="12" ht="14.25" customHeight="1">
      <c r="A12" s="8"/>
      <c r="B12" s="32" t="s">
        <v>44</v>
      </c>
      <c r="C12" s="11"/>
      <c r="D12" s="12"/>
      <c r="E12" s="36">
        <f>'Salary Sheet - Data Field'!E12</f>
        <v>3500</v>
      </c>
      <c r="F12" s="6"/>
      <c r="G12" s="6"/>
      <c r="H12" s="6"/>
      <c r="I12" s="6"/>
      <c r="J12" s="6"/>
      <c r="K12" s="6"/>
      <c r="L12" s="6"/>
      <c r="M12" s="6"/>
      <c r="N12" s="6"/>
      <c r="O12" s="6"/>
      <c r="P12" s="6"/>
      <c r="Q12" s="6"/>
      <c r="R12" s="6"/>
      <c r="S12" s="6"/>
      <c r="T12" s="6"/>
      <c r="U12" s="6"/>
      <c r="V12" s="6"/>
      <c r="W12" s="6"/>
      <c r="X12" s="6"/>
      <c r="Y12" s="6"/>
      <c r="Z12" s="6"/>
    </row>
    <row r="13" ht="14.25" customHeight="1">
      <c r="A13" s="8"/>
      <c r="B13" s="32" t="s">
        <v>46</v>
      </c>
      <c r="C13" s="11"/>
      <c r="D13" s="12"/>
      <c r="E13" s="36">
        <f>'Salary Sheet - Data Field'!G12</f>
        <v>18000</v>
      </c>
      <c r="F13" s="6"/>
      <c r="G13" s="6"/>
      <c r="H13" s="6"/>
      <c r="I13" s="6"/>
      <c r="J13" s="6"/>
      <c r="K13" s="6"/>
      <c r="L13" s="6"/>
      <c r="M13" s="6"/>
      <c r="N13" s="6"/>
      <c r="O13" s="6"/>
      <c r="P13" s="6"/>
      <c r="Q13" s="6"/>
      <c r="R13" s="6"/>
      <c r="S13" s="6"/>
      <c r="T13" s="6"/>
      <c r="U13" s="6"/>
      <c r="V13" s="6"/>
      <c r="W13" s="6"/>
      <c r="X13" s="6"/>
      <c r="Y13" s="6"/>
      <c r="Z13" s="6"/>
    </row>
    <row r="14" ht="14.25" customHeight="1">
      <c r="A14" s="8"/>
      <c r="B14" s="32" t="s">
        <v>48</v>
      </c>
      <c r="C14" s="11"/>
      <c r="D14" s="12"/>
      <c r="E14" s="36">
        <f>'Salary Sheet - Data Field'!I12</f>
        <v>10000</v>
      </c>
      <c r="F14" s="6"/>
      <c r="G14" s="6"/>
      <c r="H14" s="6"/>
      <c r="I14" s="6"/>
      <c r="J14" s="6"/>
      <c r="K14" s="6"/>
      <c r="L14" s="6"/>
      <c r="M14" s="6"/>
      <c r="N14" s="6"/>
      <c r="O14" s="6"/>
      <c r="P14" s="6"/>
      <c r="Q14" s="6"/>
      <c r="R14" s="6"/>
      <c r="S14" s="6"/>
      <c r="T14" s="6"/>
      <c r="U14" s="6"/>
      <c r="V14" s="6"/>
      <c r="W14" s="6"/>
      <c r="X14" s="6"/>
      <c r="Y14" s="6"/>
      <c r="Z14" s="6"/>
    </row>
    <row r="15" ht="14.25" customHeight="1">
      <c r="A15" s="8"/>
      <c r="B15" s="28"/>
      <c r="C15" s="11"/>
      <c r="D15" s="12"/>
      <c r="E15" s="36"/>
      <c r="F15" s="6"/>
      <c r="G15" s="6"/>
      <c r="H15" s="6"/>
      <c r="I15" s="6"/>
      <c r="J15" s="6"/>
      <c r="K15" s="6"/>
      <c r="L15" s="6"/>
      <c r="M15" s="6"/>
      <c r="N15" s="6"/>
      <c r="O15" s="6"/>
      <c r="P15" s="6"/>
      <c r="Q15" s="6"/>
      <c r="R15" s="6"/>
      <c r="S15" s="6"/>
      <c r="T15" s="6"/>
      <c r="U15" s="6"/>
      <c r="V15" s="6"/>
      <c r="W15" s="6"/>
      <c r="X15" s="6"/>
      <c r="Y15" s="6"/>
      <c r="Z15" s="6"/>
    </row>
    <row r="16" ht="14.25" customHeight="1">
      <c r="A16" s="8"/>
      <c r="B16" s="32" t="s">
        <v>50</v>
      </c>
      <c r="C16" s="11"/>
      <c r="D16" s="12"/>
      <c r="E16" s="36">
        <v>0.0</v>
      </c>
      <c r="F16" s="6"/>
      <c r="G16" s="6"/>
      <c r="H16" s="6"/>
      <c r="I16" s="6"/>
      <c r="J16" s="6"/>
      <c r="K16" s="6"/>
      <c r="L16" s="6"/>
      <c r="M16" s="6"/>
      <c r="N16" s="6"/>
      <c r="O16" s="6"/>
      <c r="P16" s="6"/>
      <c r="Q16" s="6"/>
      <c r="R16" s="6"/>
      <c r="S16" s="6"/>
      <c r="T16" s="6"/>
      <c r="U16" s="6"/>
      <c r="V16" s="6"/>
      <c r="W16" s="6"/>
      <c r="X16" s="6"/>
      <c r="Y16" s="6"/>
      <c r="Z16" s="6"/>
    </row>
    <row r="17" ht="14.25" customHeight="1">
      <c r="A17" s="8"/>
      <c r="B17" s="32" t="s">
        <v>52</v>
      </c>
      <c r="C17" s="11"/>
      <c r="D17" s="12"/>
      <c r="E17" s="36">
        <v>0.0</v>
      </c>
      <c r="F17" s="6"/>
      <c r="G17" s="6"/>
      <c r="H17" s="6"/>
      <c r="I17" s="6"/>
      <c r="J17" s="6"/>
      <c r="K17" s="6"/>
      <c r="L17" s="6"/>
      <c r="M17" s="6"/>
      <c r="N17" s="6"/>
      <c r="O17" s="6"/>
      <c r="P17" s="6"/>
      <c r="Q17" s="6"/>
      <c r="R17" s="6"/>
      <c r="S17" s="6"/>
      <c r="T17" s="6"/>
      <c r="U17" s="6"/>
      <c r="V17" s="6"/>
      <c r="W17" s="6"/>
      <c r="X17" s="6"/>
      <c r="Y17" s="6"/>
      <c r="Z17" s="6"/>
    </row>
    <row r="18" ht="14.25" customHeight="1">
      <c r="A18" s="8"/>
      <c r="B18" s="43"/>
      <c r="C18" s="11"/>
      <c r="D18" s="12"/>
      <c r="E18" s="36"/>
      <c r="F18" s="6"/>
      <c r="G18" s="6"/>
      <c r="H18" s="6"/>
      <c r="I18" s="6"/>
      <c r="J18" s="6"/>
      <c r="K18" s="6"/>
      <c r="L18" s="6"/>
      <c r="M18" s="6"/>
      <c r="N18" s="6"/>
      <c r="O18" s="6"/>
      <c r="P18" s="6"/>
      <c r="Q18" s="6"/>
      <c r="R18" s="6"/>
      <c r="S18" s="6"/>
      <c r="T18" s="6"/>
      <c r="U18" s="6"/>
      <c r="V18" s="6"/>
      <c r="W18" s="6"/>
      <c r="X18" s="6"/>
      <c r="Y18" s="6"/>
      <c r="Z18" s="6"/>
    </row>
    <row r="19" ht="14.25" customHeight="1">
      <c r="A19" s="8"/>
      <c r="B19" s="20" t="s">
        <v>54</v>
      </c>
      <c r="C19" s="11"/>
      <c r="D19" s="12"/>
      <c r="E19" s="45">
        <f>SUM(E11:E18)</f>
        <v>78000</v>
      </c>
      <c r="F19" s="6"/>
      <c r="G19" s="6"/>
      <c r="H19" s="6"/>
      <c r="I19" s="6"/>
      <c r="J19" s="6"/>
      <c r="K19" s="6"/>
      <c r="L19" s="6"/>
      <c r="M19" s="6"/>
      <c r="N19" s="6"/>
      <c r="O19" s="6"/>
      <c r="P19" s="6"/>
      <c r="Q19" s="6"/>
      <c r="R19" s="6"/>
      <c r="S19" s="6"/>
      <c r="T19" s="6"/>
      <c r="U19" s="6"/>
      <c r="V19" s="6"/>
      <c r="W19" s="6"/>
      <c r="X19" s="6"/>
      <c r="Y19" s="6"/>
      <c r="Z19" s="6"/>
    </row>
    <row r="20" ht="14.25" customHeight="1">
      <c r="A20" s="8"/>
      <c r="B20" s="43"/>
      <c r="C20" s="11"/>
      <c r="D20" s="12"/>
      <c r="E20" s="36"/>
      <c r="F20" s="6"/>
      <c r="G20" s="6"/>
      <c r="H20" s="6"/>
      <c r="I20" s="6"/>
      <c r="J20" s="6"/>
      <c r="K20" s="6"/>
      <c r="L20" s="6"/>
      <c r="M20" s="6"/>
      <c r="N20" s="6"/>
      <c r="O20" s="6"/>
      <c r="P20" s="6"/>
      <c r="Q20" s="6"/>
      <c r="R20" s="6"/>
      <c r="S20" s="6"/>
      <c r="T20" s="6"/>
      <c r="U20" s="6"/>
      <c r="V20" s="6"/>
      <c r="W20" s="6"/>
      <c r="X20" s="6"/>
      <c r="Y20" s="6"/>
      <c r="Z20" s="6"/>
    </row>
    <row r="21" ht="14.25" customHeight="1">
      <c r="A21" s="8"/>
      <c r="B21" s="20" t="s">
        <v>56</v>
      </c>
      <c r="C21" s="11"/>
      <c r="D21" s="12"/>
      <c r="E21" s="36"/>
      <c r="F21" s="6"/>
      <c r="G21" s="6"/>
      <c r="H21" s="6"/>
      <c r="I21" s="6"/>
      <c r="J21" s="6"/>
      <c r="K21" s="6"/>
      <c r="L21" s="6"/>
      <c r="M21" s="6"/>
      <c r="N21" s="6"/>
      <c r="O21" s="6"/>
      <c r="P21" s="6"/>
      <c r="Q21" s="6"/>
      <c r="R21" s="6"/>
      <c r="S21" s="6"/>
      <c r="T21" s="6"/>
      <c r="U21" s="6"/>
      <c r="V21" s="6"/>
      <c r="W21" s="6"/>
      <c r="X21" s="6"/>
      <c r="Y21" s="6"/>
      <c r="Z21" s="6"/>
    </row>
    <row r="22" ht="14.25" customHeight="1">
      <c r="A22" s="8"/>
      <c r="B22" s="32" t="s">
        <v>58</v>
      </c>
      <c r="C22" s="11"/>
      <c r="D22" s="12"/>
      <c r="E22" s="36">
        <v>0.0</v>
      </c>
      <c r="F22" s="6"/>
      <c r="G22" s="6"/>
      <c r="H22" s="6"/>
      <c r="I22" s="6"/>
      <c r="J22" s="6"/>
      <c r="K22" s="6"/>
      <c r="L22" s="6"/>
      <c r="M22" s="6"/>
      <c r="N22" s="6"/>
      <c r="O22" s="6"/>
      <c r="P22" s="6"/>
      <c r="Q22" s="6"/>
      <c r="R22" s="6"/>
      <c r="S22" s="6"/>
      <c r="T22" s="6"/>
      <c r="U22" s="6"/>
      <c r="V22" s="6"/>
      <c r="W22" s="6"/>
      <c r="X22" s="6"/>
      <c r="Y22" s="6"/>
      <c r="Z22" s="6"/>
    </row>
    <row r="23" ht="14.25" customHeight="1">
      <c r="A23" s="8"/>
      <c r="B23" s="32" t="s">
        <v>59</v>
      </c>
      <c r="C23" s="11"/>
      <c r="D23" s="12"/>
      <c r="E23" s="36">
        <f>'Salary Sheet - Data Field'!M12</f>
        <v>25</v>
      </c>
      <c r="F23" s="6"/>
      <c r="G23" s="6"/>
      <c r="H23" s="6"/>
      <c r="I23" s="6"/>
      <c r="J23" s="6"/>
      <c r="K23" s="6"/>
      <c r="L23" s="6"/>
      <c r="M23" s="6"/>
      <c r="N23" s="6"/>
      <c r="O23" s="6"/>
      <c r="P23" s="6"/>
      <c r="Q23" s="6"/>
      <c r="R23" s="6"/>
      <c r="S23" s="6"/>
      <c r="T23" s="6"/>
      <c r="U23" s="6"/>
      <c r="V23" s="6"/>
      <c r="W23" s="6"/>
      <c r="X23" s="6"/>
      <c r="Y23" s="6"/>
      <c r="Z23" s="6"/>
    </row>
    <row r="24" ht="14.25" customHeight="1">
      <c r="A24" s="8"/>
      <c r="B24" s="20" t="s">
        <v>60</v>
      </c>
      <c r="C24" s="11"/>
      <c r="D24" s="12"/>
      <c r="E24" s="45">
        <f>SUM(E22:E23)</f>
        <v>25</v>
      </c>
      <c r="F24" s="6"/>
      <c r="G24" s="6"/>
      <c r="H24" s="6"/>
      <c r="I24" s="6"/>
      <c r="J24" s="6"/>
      <c r="K24" s="6"/>
      <c r="L24" s="6"/>
      <c r="M24" s="6"/>
      <c r="N24" s="6"/>
      <c r="O24" s="6"/>
      <c r="P24" s="6"/>
      <c r="Q24" s="6"/>
      <c r="R24" s="6"/>
      <c r="S24" s="6"/>
      <c r="T24" s="6"/>
      <c r="U24" s="6"/>
      <c r="V24" s="6"/>
      <c r="W24" s="6"/>
      <c r="X24" s="6"/>
      <c r="Y24" s="6"/>
      <c r="Z24" s="6"/>
    </row>
    <row r="25" ht="14.25" customHeight="1">
      <c r="A25" s="8"/>
      <c r="B25" s="43"/>
      <c r="C25" s="11"/>
      <c r="D25" s="12"/>
      <c r="E25" s="36"/>
      <c r="F25" s="6"/>
      <c r="G25" s="6"/>
      <c r="H25" s="6"/>
      <c r="I25" s="6"/>
      <c r="J25" s="6"/>
      <c r="K25" s="6"/>
      <c r="L25" s="6"/>
      <c r="M25" s="6"/>
      <c r="N25" s="6"/>
      <c r="O25" s="6"/>
      <c r="P25" s="6"/>
      <c r="Q25" s="6"/>
      <c r="R25" s="6"/>
      <c r="S25" s="6"/>
      <c r="T25" s="6"/>
      <c r="U25" s="6"/>
      <c r="V25" s="6"/>
      <c r="W25" s="6"/>
      <c r="X25" s="6"/>
      <c r="Y25" s="6"/>
      <c r="Z25" s="6"/>
    </row>
    <row r="26" ht="14.25" customHeight="1">
      <c r="A26" s="8"/>
      <c r="B26" s="20" t="s">
        <v>61</v>
      </c>
      <c r="C26" s="11"/>
      <c r="D26" s="12"/>
      <c r="E26" s="45">
        <f>E19-E24</f>
        <v>77975</v>
      </c>
      <c r="F26" s="6"/>
      <c r="G26" s="6"/>
      <c r="H26" s="6"/>
      <c r="I26" s="6"/>
      <c r="J26" s="6"/>
      <c r="K26" s="6"/>
      <c r="L26" s="6"/>
      <c r="M26" s="6"/>
      <c r="N26" s="6"/>
      <c r="O26" s="6"/>
      <c r="P26" s="6"/>
      <c r="Q26" s="6"/>
      <c r="R26" s="6"/>
      <c r="S26" s="6"/>
      <c r="T26" s="6"/>
      <c r="U26" s="6"/>
      <c r="V26" s="6"/>
      <c r="W26" s="6"/>
      <c r="X26" s="6"/>
      <c r="Y26" s="6"/>
      <c r="Z26" s="6"/>
    </row>
    <row r="27" ht="14.25" customHeight="1">
      <c r="A27" s="8"/>
      <c r="B27" s="43"/>
      <c r="C27" s="11"/>
      <c r="D27" s="12"/>
      <c r="E27" s="36"/>
      <c r="F27" s="6"/>
      <c r="G27" s="6"/>
      <c r="H27" s="6"/>
      <c r="I27" s="6"/>
      <c r="J27" s="6"/>
      <c r="K27" s="6"/>
      <c r="L27" s="6"/>
      <c r="M27" s="6"/>
      <c r="N27" s="6"/>
      <c r="O27" s="6"/>
      <c r="P27" s="6"/>
      <c r="Q27" s="6"/>
      <c r="R27" s="6"/>
      <c r="S27" s="6"/>
      <c r="T27" s="6"/>
      <c r="U27" s="6"/>
      <c r="V27" s="6"/>
      <c r="W27" s="6"/>
      <c r="X27" s="6"/>
      <c r="Y27" s="6"/>
      <c r="Z27" s="6"/>
    </row>
    <row r="28" ht="14.25" customHeight="1">
      <c r="A28" s="8"/>
      <c r="B28" s="32" t="s">
        <v>64</v>
      </c>
      <c r="C28" s="11"/>
      <c r="D28" s="12"/>
      <c r="E28" s="36" t="str">
        <f>'Salary Sheet - Data Field'!Q26</f>
        <v/>
      </c>
      <c r="F28" s="6"/>
      <c r="G28" s="6"/>
      <c r="H28" s="6"/>
      <c r="I28" s="6"/>
      <c r="J28" s="6"/>
      <c r="K28" s="6"/>
      <c r="L28" s="6"/>
      <c r="M28" s="6"/>
      <c r="N28" s="6"/>
      <c r="O28" s="6"/>
      <c r="P28" s="6"/>
      <c r="Q28" s="6"/>
      <c r="R28" s="6"/>
      <c r="S28" s="6"/>
      <c r="T28" s="6"/>
      <c r="U28" s="6"/>
      <c r="V28" s="6"/>
      <c r="W28" s="6"/>
      <c r="X28" s="6"/>
      <c r="Y28" s="6"/>
      <c r="Z28" s="6"/>
    </row>
    <row r="29" ht="14.25" customHeight="1">
      <c r="A29" s="8"/>
      <c r="B29" s="43"/>
      <c r="C29" s="11"/>
      <c r="D29" s="12"/>
      <c r="E29" s="36"/>
      <c r="F29" s="6"/>
      <c r="G29" s="6"/>
      <c r="H29" s="6"/>
      <c r="I29" s="6"/>
      <c r="J29" s="6"/>
      <c r="K29" s="6"/>
      <c r="L29" s="6"/>
      <c r="M29" s="6"/>
      <c r="N29" s="6"/>
      <c r="O29" s="6"/>
      <c r="P29" s="6"/>
      <c r="Q29" s="6"/>
      <c r="R29" s="6"/>
      <c r="S29" s="6"/>
      <c r="T29" s="6"/>
      <c r="U29" s="6"/>
      <c r="V29" s="6"/>
      <c r="W29" s="6"/>
      <c r="X29" s="6"/>
      <c r="Y29" s="6"/>
      <c r="Z29" s="6"/>
    </row>
    <row r="30" ht="14.25" customHeight="1">
      <c r="A30" s="8"/>
      <c r="B30" s="32" t="s">
        <v>65</v>
      </c>
      <c r="C30" s="11"/>
      <c r="D30" s="12"/>
      <c r="E30" s="36" t="str">
        <f>'Salary Sheet - Data Field'!R26</f>
        <v/>
      </c>
      <c r="F30" s="6"/>
      <c r="G30" s="6"/>
      <c r="H30" s="6"/>
      <c r="I30" s="6"/>
      <c r="J30" s="6"/>
      <c r="K30" s="6"/>
      <c r="L30" s="6"/>
      <c r="M30" s="6"/>
      <c r="N30" s="6"/>
      <c r="O30" s="6"/>
      <c r="P30" s="6"/>
      <c r="Q30" s="6"/>
      <c r="R30" s="6"/>
      <c r="S30" s="6"/>
      <c r="T30" s="6"/>
      <c r="U30" s="6"/>
      <c r="V30" s="6"/>
      <c r="W30" s="6"/>
      <c r="X30" s="6"/>
      <c r="Y30" s="6"/>
      <c r="Z30" s="6"/>
    </row>
    <row r="31" ht="14.25" customHeight="1">
      <c r="A31" s="8"/>
      <c r="B31" s="28"/>
      <c r="C31" s="11"/>
      <c r="D31" s="11"/>
      <c r="E31" s="12"/>
      <c r="F31" s="6"/>
      <c r="G31" s="6"/>
      <c r="H31" s="6"/>
      <c r="I31" s="6"/>
      <c r="J31" s="6"/>
      <c r="K31" s="6"/>
      <c r="L31" s="6"/>
      <c r="M31" s="6"/>
      <c r="N31" s="6"/>
      <c r="O31" s="6"/>
      <c r="P31" s="6"/>
      <c r="Q31" s="6"/>
      <c r="R31" s="6"/>
      <c r="S31" s="6"/>
      <c r="T31" s="6"/>
      <c r="U31" s="6"/>
      <c r="V31" s="6"/>
      <c r="W31" s="6"/>
      <c r="X31" s="6"/>
      <c r="Y31" s="6"/>
      <c r="Z31" s="6"/>
    </row>
    <row r="32" ht="14.25" customHeight="1">
      <c r="A32" s="8"/>
      <c r="B32" s="47" t="str">
        <f>B.G.A.D.Basnayaka!B32</f>
        <v>2022.06.25</v>
      </c>
      <c r="C32" s="48"/>
      <c r="D32" s="49"/>
      <c r="E32" s="50" t="s">
        <v>67</v>
      </c>
      <c r="F32" s="6"/>
      <c r="G32" s="6"/>
      <c r="H32" s="6"/>
      <c r="I32" s="6"/>
      <c r="J32" s="6"/>
      <c r="K32" s="6"/>
      <c r="L32" s="6"/>
      <c r="M32" s="6"/>
      <c r="N32" s="6"/>
      <c r="O32" s="6"/>
      <c r="P32" s="6"/>
      <c r="Q32" s="6"/>
      <c r="R32" s="6"/>
      <c r="S32" s="6"/>
      <c r="T32" s="6"/>
      <c r="U32" s="6"/>
      <c r="V32" s="6"/>
      <c r="W32" s="6"/>
      <c r="X32" s="6"/>
      <c r="Y32" s="6"/>
      <c r="Z32" s="6"/>
    </row>
    <row r="33" ht="14.25" customHeight="1">
      <c r="A33" s="8"/>
      <c r="B33" s="47" t="s">
        <v>68</v>
      </c>
      <c r="C33" s="51"/>
      <c r="D33" s="52"/>
      <c r="E33" s="47" t="s">
        <v>69</v>
      </c>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0">
    <mergeCell ref="B2:E2"/>
    <mergeCell ref="B3:E3"/>
    <mergeCell ref="B4:E4"/>
    <mergeCell ref="B6:E6"/>
    <mergeCell ref="B7:E7"/>
    <mergeCell ref="B8:E8"/>
    <mergeCell ref="B9:E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31:E31"/>
    <mergeCell ref="C32:D33"/>
    <mergeCell ref="B24:D24"/>
    <mergeCell ref="B25:D25"/>
    <mergeCell ref="B26:D26"/>
    <mergeCell ref="B27:D27"/>
    <mergeCell ref="B28:D28"/>
    <mergeCell ref="B29:D29"/>
    <mergeCell ref="B30:D30"/>
  </mergeCells>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12.29"/>
    <col customWidth="1" min="3" max="4" width="8.86"/>
    <col customWidth="1" min="5" max="5" width="15.0"/>
    <col customWidth="1" min="6" max="26" width="8.86"/>
  </cols>
  <sheetData>
    <row r="1" ht="13.5" customHeight="1">
      <c r="A1" s="3"/>
      <c r="B1" s="4"/>
      <c r="C1" s="4"/>
      <c r="D1" s="4"/>
      <c r="E1" s="4"/>
      <c r="F1" s="6"/>
      <c r="G1" s="6"/>
      <c r="H1" s="6"/>
      <c r="I1" s="6"/>
      <c r="J1" s="6"/>
      <c r="K1" s="6"/>
      <c r="L1" s="6"/>
      <c r="M1" s="6"/>
      <c r="N1" s="6"/>
      <c r="O1" s="6"/>
      <c r="P1" s="6"/>
      <c r="Q1" s="6"/>
      <c r="R1" s="6"/>
      <c r="S1" s="6"/>
      <c r="T1" s="6"/>
      <c r="U1" s="6"/>
      <c r="V1" s="6"/>
      <c r="W1" s="6"/>
      <c r="X1" s="6"/>
      <c r="Y1" s="6"/>
      <c r="Z1" s="6"/>
    </row>
    <row r="2" ht="14.25" customHeight="1">
      <c r="A2" s="8"/>
      <c r="B2" s="9" t="s">
        <v>6</v>
      </c>
      <c r="C2" s="11"/>
      <c r="D2" s="11"/>
      <c r="E2" s="12"/>
      <c r="F2" s="6"/>
      <c r="G2" s="6"/>
      <c r="H2" s="6"/>
      <c r="I2" s="6"/>
      <c r="J2" s="6"/>
      <c r="K2" s="6"/>
      <c r="L2" s="6"/>
      <c r="M2" s="6"/>
      <c r="N2" s="6"/>
      <c r="O2" s="6"/>
      <c r="P2" s="6"/>
      <c r="Q2" s="6"/>
      <c r="R2" s="6"/>
      <c r="S2" s="6"/>
      <c r="T2" s="6"/>
      <c r="U2" s="6"/>
      <c r="V2" s="6"/>
      <c r="W2" s="6"/>
      <c r="X2" s="6"/>
      <c r="Y2" s="6"/>
      <c r="Z2" s="6"/>
    </row>
    <row r="3" ht="14.25" customHeight="1">
      <c r="A3" s="8"/>
      <c r="B3" s="9" t="s">
        <v>10</v>
      </c>
      <c r="C3" s="11"/>
      <c r="D3" s="11"/>
      <c r="E3" s="12"/>
      <c r="F3" s="6"/>
      <c r="G3" s="6"/>
      <c r="H3" s="6"/>
      <c r="I3" s="6"/>
      <c r="J3" s="6"/>
      <c r="K3" s="6"/>
      <c r="L3" s="6"/>
      <c r="M3" s="6"/>
      <c r="N3" s="6"/>
      <c r="O3" s="6"/>
      <c r="P3" s="6"/>
      <c r="Q3" s="6"/>
      <c r="R3" s="6"/>
      <c r="S3" s="6"/>
      <c r="T3" s="6"/>
      <c r="U3" s="6"/>
      <c r="V3" s="6"/>
      <c r="W3" s="6"/>
      <c r="X3" s="6"/>
      <c r="Y3" s="6"/>
      <c r="Z3" s="6"/>
    </row>
    <row r="4" ht="14.25" customHeight="1">
      <c r="A4" s="8"/>
      <c r="B4" s="24" t="s">
        <v>12</v>
      </c>
      <c r="C4" s="11"/>
      <c r="D4" s="11"/>
      <c r="E4" s="12"/>
      <c r="F4" s="6"/>
      <c r="G4" s="6"/>
      <c r="H4" s="6"/>
      <c r="I4" s="6"/>
      <c r="J4" s="6"/>
      <c r="K4" s="6"/>
      <c r="L4" s="6"/>
      <c r="M4" s="6"/>
      <c r="N4" s="6"/>
      <c r="O4" s="6"/>
      <c r="P4" s="6"/>
      <c r="Q4" s="6"/>
      <c r="R4" s="6"/>
      <c r="S4" s="6"/>
      <c r="T4" s="6"/>
      <c r="U4" s="6"/>
      <c r="V4" s="6"/>
      <c r="W4" s="6"/>
      <c r="X4" s="6"/>
      <c r="Y4" s="6"/>
      <c r="Z4" s="6"/>
    </row>
    <row r="5" ht="14.25" customHeight="1">
      <c r="A5" s="8"/>
      <c r="B5" s="15" t="s">
        <v>49</v>
      </c>
      <c r="C5" s="16"/>
      <c r="D5" s="16"/>
      <c r="E5" s="16"/>
      <c r="F5" s="6"/>
      <c r="G5" s="6"/>
      <c r="H5" s="6"/>
      <c r="I5" s="6"/>
      <c r="J5" s="6"/>
      <c r="K5" s="6"/>
      <c r="L5" s="6"/>
      <c r="M5" s="6"/>
      <c r="N5" s="6"/>
      <c r="O5" s="6"/>
      <c r="P5" s="6"/>
      <c r="Q5" s="6"/>
      <c r="R5" s="6"/>
      <c r="S5" s="6"/>
      <c r="T5" s="6"/>
      <c r="U5" s="6"/>
      <c r="V5" s="6"/>
      <c r="W5" s="6"/>
      <c r="X5" s="6"/>
      <c r="Y5" s="6"/>
      <c r="Z5" s="6"/>
    </row>
    <row r="6" ht="14.25" customHeight="1">
      <c r="A6" s="8"/>
      <c r="B6" s="20" t="s">
        <v>51</v>
      </c>
      <c r="C6" s="11"/>
      <c r="D6" s="11"/>
      <c r="E6" s="12"/>
      <c r="F6" s="6"/>
      <c r="G6" s="6"/>
      <c r="H6" s="6"/>
      <c r="I6" s="6"/>
      <c r="J6" s="6"/>
      <c r="K6" s="6"/>
      <c r="L6" s="6"/>
      <c r="M6" s="6"/>
      <c r="N6" s="6"/>
      <c r="O6" s="6"/>
      <c r="P6" s="6"/>
      <c r="Q6" s="6"/>
      <c r="R6" s="6"/>
      <c r="S6" s="6"/>
      <c r="T6" s="6"/>
      <c r="U6" s="6"/>
      <c r="V6" s="6"/>
      <c r="W6" s="6"/>
      <c r="X6" s="6"/>
      <c r="Y6" s="6"/>
      <c r="Z6" s="6"/>
    </row>
    <row r="7" ht="14.25" customHeight="1">
      <c r="A7" s="8"/>
      <c r="B7" s="20" t="s">
        <v>20</v>
      </c>
      <c r="C7" s="11"/>
      <c r="D7" s="11"/>
      <c r="E7" s="12"/>
      <c r="F7" s="6"/>
      <c r="G7" s="6"/>
      <c r="H7" s="6"/>
      <c r="I7" s="6"/>
      <c r="J7" s="6"/>
      <c r="K7" s="6"/>
      <c r="L7" s="6"/>
      <c r="M7" s="6"/>
      <c r="N7" s="6"/>
      <c r="O7" s="6"/>
      <c r="P7" s="6"/>
      <c r="Q7" s="6"/>
      <c r="R7" s="6"/>
      <c r="S7" s="6"/>
      <c r="T7" s="6"/>
      <c r="U7" s="6"/>
      <c r="V7" s="6"/>
      <c r="W7" s="6"/>
      <c r="X7" s="6"/>
      <c r="Y7" s="6"/>
      <c r="Z7" s="6"/>
    </row>
    <row r="8" ht="14.25" customHeight="1">
      <c r="A8" s="8"/>
      <c r="B8" s="20" t="str">
        <f>E.A.R.H.B.Athauda!B8</f>
        <v>Month :             July - 2022</v>
      </c>
      <c r="C8" s="11"/>
      <c r="D8" s="11"/>
      <c r="E8" s="12"/>
      <c r="F8" s="6"/>
      <c r="G8" s="6"/>
      <c r="H8" s="6"/>
      <c r="I8" s="6"/>
      <c r="J8" s="6"/>
      <c r="K8" s="6"/>
      <c r="L8" s="6"/>
      <c r="M8" s="6"/>
      <c r="N8" s="6"/>
      <c r="O8" s="6"/>
      <c r="P8" s="6"/>
      <c r="Q8" s="6"/>
      <c r="R8" s="6"/>
      <c r="S8" s="6"/>
      <c r="T8" s="6"/>
      <c r="U8" s="6"/>
      <c r="V8" s="6"/>
      <c r="W8" s="6"/>
      <c r="X8" s="6"/>
      <c r="Y8" s="6"/>
      <c r="Z8" s="6"/>
    </row>
    <row r="9" ht="14.25" customHeight="1">
      <c r="A9" s="8"/>
      <c r="B9" s="28"/>
      <c r="C9" s="11"/>
      <c r="D9" s="11"/>
      <c r="E9" s="12"/>
      <c r="F9" s="6"/>
      <c r="G9" s="6"/>
      <c r="H9" s="6"/>
      <c r="I9" s="6"/>
      <c r="J9" s="6"/>
      <c r="K9" s="6"/>
      <c r="L9" s="6"/>
      <c r="M9" s="6"/>
      <c r="N9" s="6"/>
      <c r="O9" s="6"/>
      <c r="P9" s="6"/>
      <c r="Q9" s="6"/>
      <c r="R9" s="6"/>
      <c r="S9" s="6"/>
      <c r="T9" s="6"/>
      <c r="U9" s="6"/>
      <c r="V9" s="6"/>
      <c r="W9" s="6"/>
      <c r="X9" s="6"/>
      <c r="Y9" s="6"/>
      <c r="Z9" s="6"/>
    </row>
    <row r="10" ht="14.25" customHeight="1">
      <c r="A10" s="8"/>
      <c r="B10" s="28"/>
      <c r="C10" s="11"/>
      <c r="D10" s="12"/>
      <c r="E10" s="31" t="s">
        <v>40</v>
      </c>
      <c r="F10" s="6"/>
      <c r="G10" s="6"/>
      <c r="H10" s="6"/>
      <c r="I10" s="6"/>
      <c r="J10" s="6"/>
      <c r="K10" s="6"/>
      <c r="L10" s="6"/>
      <c r="M10" s="6"/>
      <c r="N10" s="6"/>
      <c r="O10" s="6"/>
      <c r="P10" s="6"/>
      <c r="Q10" s="6"/>
      <c r="R10" s="6"/>
      <c r="S10" s="6"/>
      <c r="T10" s="6"/>
      <c r="U10" s="6"/>
      <c r="V10" s="6"/>
      <c r="W10" s="6"/>
      <c r="X10" s="6"/>
      <c r="Y10" s="6"/>
      <c r="Z10" s="6"/>
    </row>
    <row r="11" ht="14.25" customHeight="1">
      <c r="A11" s="8"/>
      <c r="B11" s="32" t="s">
        <v>42</v>
      </c>
      <c r="C11" s="11"/>
      <c r="D11" s="12"/>
      <c r="E11" s="36">
        <f>'Salary Sheet - Data Field'!D14</f>
        <v>71500</v>
      </c>
      <c r="F11" s="6"/>
      <c r="G11" s="6"/>
      <c r="H11" s="6"/>
      <c r="I11" s="6"/>
      <c r="J11" s="6"/>
      <c r="K11" s="6"/>
      <c r="L11" s="6"/>
      <c r="M11" s="6"/>
      <c r="N11" s="6"/>
      <c r="O11" s="6"/>
      <c r="P11" s="6"/>
      <c r="Q11" s="6"/>
      <c r="R11" s="6"/>
      <c r="S11" s="6"/>
      <c r="T11" s="6"/>
      <c r="U11" s="6"/>
      <c r="V11" s="6"/>
      <c r="W11" s="6"/>
      <c r="X11" s="6"/>
      <c r="Y11" s="6"/>
      <c r="Z11" s="6"/>
    </row>
    <row r="12" ht="14.25" customHeight="1">
      <c r="A12" s="8"/>
      <c r="B12" s="32" t="s">
        <v>44</v>
      </c>
      <c r="C12" s="11"/>
      <c r="D12" s="12"/>
      <c r="E12" s="36">
        <f>'Salary Sheet - Data Field'!E14</f>
        <v>3500</v>
      </c>
      <c r="F12" s="6"/>
      <c r="G12" s="6"/>
      <c r="H12" s="6"/>
      <c r="I12" s="6"/>
      <c r="J12" s="6"/>
      <c r="K12" s="6"/>
      <c r="L12" s="6"/>
      <c r="M12" s="6"/>
      <c r="N12" s="6"/>
      <c r="O12" s="6"/>
      <c r="P12" s="6"/>
      <c r="Q12" s="6"/>
      <c r="R12" s="6"/>
      <c r="S12" s="6"/>
      <c r="T12" s="6"/>
      <c r="U12" s="6"/>
      <c r="V12" s="6"/>
      <c r="W12" s="6"/>
      <c r="X12" s="6"/>
      <c r="Y12" s="6"/>
      <c r="Z12" s="6"/>
    </row>
    <row r="13" ht="14.25" customHeight="1">
      <c r="A13" s="8"/>
      <c r="B13" s="32" t="s">
        <v>46</v>
      </c>
      <c r="C13" s="11"/>
      <c r="D13" s="12"/>
      <c r="E13" s="36">
        <f>'Salary Sheet - Data Field'!G14</f>
        <v>55000</v>
      </c>
      <c r="F13" s="6"/>
      <c r="G13" s="6"/>
      <c r="H13" s="6"/>
      <c r="I13" s="6"/>
      <c r="J13" s="6"/>
      <c r="K13" s="6"/>
      <c r="L13" s="6"/>
      <c r="M13" s="6"/>
      <c r="N13" s="6"/>
      <c r="O13" s="6"/>
      <c r="P13" s="6"/>
      <c r="Q13" s="6"/>
      <c r="R13" s="6"/>
      <c r="S13" s="6"/>
      <c r="T13" s="6"/>
      <c r="U13" s="6"/>
      <c r="V13" s="6"/>
      <c r="W13" s="6"/>
      <c r="X13" s="6"/>
      <c r="Y13" s="6"/>
      <c r="Z13" s="6"/>
    </row>
    <row r="14" ht="14.25" customHeight="1">
      <c r="A14" s="8"/>
      <c r="B14" s="32" t="s">
        <v>48</v>
      </c>
      <c r="C14" s="11"/>
      <c r="D14" s="12"/>
      <c r="E14" s="36">
        <f>'Salary Sheet - Data Field'!I14</f>
        <v>17000</v>
      </c>
      <c r="F14" s="6"/>
      <c r="G14" s="6"/>
      <c r="H14" s="6"/>
      <c r="I14" s="6"/>
      <c r="J14" s="6"/>
      <c r="K14" s="6"/>
      <c r="L14" s="6"/>
      <c r="M14" s="6"/>
      <c r="N14" s="6"/>
      <c r="O14" s="6"/>
      <c r="P14" s="6"/>
      <c r="Q14" s="6"/>
      <c r="R14" s="6"/>
      <c r="S14" s="6"/>
      <c r="T14" s="6"/>
      <c r="U14" s="6"/>
      <c r="V14" s="6"/>
      <c r="W14" s="6"/>
      <c r="X14" s="6"/>
      <c r="Y14" s="6"/>
      <c r="Z14" s="6"/>
    </row>
    <row r="15" ht="14.25" customHeight="1">
      <c r="A15" s="8"/>
      <c r="B15" s="28"/>
      <c r="C15" s="11"/>
      <c r="D15" s="12"/>
      <c r="E15" s="36"/>
      <c r="F15" s="6"/>
      <c r="G15" s="6"/>
      <c r="H15" s="6"/>
      <c r="I15" s="6"/>
      <c r="J15" s="6"/>
      <c r="K15" s="6"/>
      <c r="L15" s="6"/>
      <c r="M15" s="6"/>
      <c r="N15" s="6"/>
      <c r="O15" s="6"/>
      <c r="P15" s="6"/>
      <c r="Q15" s="6"/>
      <c r="R15" s="6"/>
      <c r="S15" s="6"/>
      <c r="T15" s="6"/>
      <c r="U15" s="6"/>
      <c r="V15" s="6"/>
      <c r="W15" s="6"/>
      <c r="X15" s="6"/>
      <c r="Y15" s="6"/>
      <c r="Z15" s="6"/>
    </row>
    <row r="16" ht="14.25" customHeight="1">
      <c r="A16" s="8"/>
      <c r="B16" s="32" t="s">
        <v>63</v>
      </c>
      <c r="C16" s="11"/>
      <c r="D16" s="12"/>
      <c r="E16" s="36">
        <v>0.0</v>
      </c>
      <c r="F16" s="6"/>
      <c r="G16" s="6"/>
      <c r="H16" s="6"/>
      <c r="I16" s="6"/>
      <c r="J16" s="6"/>
      <c r="K16" s="6"/>
      <c r="L16" s="6"/>
      <c r="M16" s="6"/>
      <c r="N16" s="6"/>
      <c r="O16" s="6"/>
      <c r="P16" s="6"/>
      <c r="Q16" s="6"/>
      <c r="R16" s="6"/>
      <c r="S16" s="6"/>
      <c r="T16" s="6"/>
      <c r="U16" s="6"/>
      <c r="V16" s="6"/>
      <c r="W16" s="6"/>
      <c r="X16" s="6"/>
      <c r="Y16" s="6"/>
      <c r="Z16" s="6"/>
    </row>
    <row r="17" ht="14.25" customHeight="1">
      <c r="A17" s="8"/>
      <c r="B17" s="32" t="s">
        <v>52</v>
      </c>
      <c r="C17" s="11"/>
      <c r="D17" s="12"/>
      <c r="E17" s="36">
        <v>0.0</v>
      </c>
      <c r="F17" s="6"/>
      <c r="G17" s="6"/>
      <c r="H17" s="6"/>
      <c r="I17" s="6"/>
      <c r="J17" s="6"/>
      <c r="K17" s="6"/>
      <c r="L17" s="6"/>
      <c r="M17" s="6"/>
      <c r="N17" s="6"/>
      <c r="O17" s="6"/>
      <c r="P17" s="6"/>
      <c r="Q17" s="6"/>
      <c r="R17" s="6"/>
      <c r="S17" s="6"/>
      <c r="T17" s="6"/>
      <c r="U17" s="6"/>
      <c r="V17" s="6"/>
      <c r="W17" s="6"/>
      <c r="X17" s="6"/>
      <c r="Y17" s="6"/>
      <c r="Z17" s="6"/>
    </row>
    <row r="18" ht="14.25" customHeight="1">
      <c r="A18" s="8"/>
      <c r="B18" s="43"/>
      <c r="C18" s="11"/>
      <c r="D18" s="12"/>
      <c r="E18" s="36"/>
      <c r="F18" s="6"/>
      <c r="G18" s="6"/>
      <c r="H18" s="6"/>
      <c r="I18" s="6"/>
      <c r="J18" s="6"/>
      <c r="K18" s="6"/>
      <c r="L18" s="6"/>
      <c r="M18" s="6"/>
      <c r="N18" s="6"/>
      <c r="O18" s="6"/>
      <c r="P18" s="6"/>
      <c r="Q18" s="6"/>
      <c r="R18" s="6"/>
      <c r="S18" s="6"/>
      <c r="T18" s="6"/>
      <c r="U18" s="6"/>
      <c r="V18" s="6"/>
      <c r="W18" s="6"/>
      <c r="X18" s="6"/>
      <c r="Y18" s="6"/>
      <c r="Z18" s="6"/>
    </row>
    <row r="19" ht="14.25" customHeight="1">
      <c r="A19" s="8"/>
      <c r="B19" s="20" t="s">
        <v>54</v>
      </c>
      <c r="C19" s="11"/>
      <c r="D19" s="12"/>
      <c r="E19" s="45">
        <f>SUM(E11:E18)</f>
        <v>147000</v>
      </c>
      <c r="F19" s="6"/>
      <c r="G19" s="6"/>
      <c r="H19" s="6"/>
      <c r="I19" s="6"/>
      <c r="J19" s="6"/>
      <c r="K19" s="6"/>
      <c r="L19" s="6"/>
      <c r="M19" s="6"/>
      <c r="N19" s="6"/>
      <c r="O19" s="6"/>
      <c r="P19" s="6"/>
      <c r="Q19" s="6"/>
      <c r="R19" s="6"/>
      <c r="S19" s="6"/>
      <c r="T19" s="6"/>
      <c r="U19" s="6"/>
      <c r="V19" s="6"/>
      <c r="W19" s="6"/>
      <c r="X19" s="6"/>
      <c r="Y19" s="6"/>
      <c r="Z19" s="6"/>
    </row>
    <row r="20" ht="14.25" customHeight="1">
      <c r="A20" s="8"/>
      <c r="B20" s="43"/>
      <c r="C20" s="11"/>
      <c r="D20" s="12"/>
      <c r="E20" s="36"/>
      <c r="F20" s="6"/>
      <c r="G20" s="6"/>
      <c r="H20" s="6"/>
      <c r="I20" s="6"/>
      <c r="J20" s="6"/>
      <c r="K20" s="6"/>
      <c r="L20" s="6"/>
      <c r="M20" s="6"/>
      <c r="N20" s="6"/>
      <c r="O20" s="6"/>
      <c r="P20" s="6"/>
      <c r="Q20" s="6"/>
      <c r="R20" s="6"/>
      <c r="S20" s="6"/>
      <c r="T20" s="6"/>
      <c r="U20" s="6"/>
      <c r="V20" s="6"/>
      <c r="W20" s="6"/>
      <c r="X20" s="6"/>
      <c r="Y20" s="6"/>
      <c r="Z20" s="6"/>
    </row>
    <row r="21" ht="14.25" customHeight="1">
      <c r="A21" s="8"/>
      <c r="B21" s="20" t="s">
        <v>56</v>
      </c>
      <c r="C21" s="11"/>
      <c r="D21" s="12"/>
      <c r="E21" s="36"/>
      <c r="F21" s="6"/>
      <c r="G21" s="6"/>
      <c r="H21" s="6"/>
      <c r="I21" s="6"/>
      <c r="J21" s="6"/>
      <c r="K21" s="6"/>
      <c r="L21" s="6"/>
      <c r="M21" s="6"/>
      <c r="N21" s="6"/>
      <c r="O21" s="6"/>
      <c r="P21" s="6"/>
      <c r="Q21" s="6"/>
      <c r="R21" s="6"/>
      <c r="S21" s="6"/>
      <c r="T21" s="6"/>
      <c r="U21" s="6"/>
      <c r="V21" s="6"/>
      <c r="W21" s="6"/>
      <c r="X21" s="6"/>
      <c r="Y21" s="6"/>
      <c r="Z21" s="6"/>
    </row>
    <row r="22" ht="14.25" customHeight="1">
      <c r="A22" s="8"/>
      <c r="B22" s="32" t="s">
        <v>58</v>
      </c>
      <c r="C22" s="11"/>
      <c r="D22" s="12"/>
      <c r="E22" s="36">
        <v>0.0</v>
      </c>
      <c r="F22" s="6"/>
      <c r="G22" s="6"/>
      <c r="H22" s="6"/>
      <c r="I22" s="6"/>
      <c r="J22" s="6"/>
      <c r="K22" s="6"/>
      <c r="L22" s="6"/>
      <c r="M22" s="6"/>
      <c r="N22" s="6"/>
      <c r="O22" s="6"/>
      <c r="P22" s="6"/>
      <c r="Q22" s="6"/>
      <c r="R22" s="6"/>
      <c r="S22" s="6"/>
      <c r="T22" s="6"/>
      <c r="U22" s="6"/>
      <c r="V22" s="6"/>
      <c r="W22" s="6"/>
      <c r="X22" s="6"/>
      <c r="Y22" s="6"/>
      <c r="Z22" s="6"/>
    </row>
    <row r="23" ht="14.25" customHeight="1">
      <c r="A23" s="8"/>
      <c r="B23" s="32" t="s">
        <v>59</v>
      </c>
      <c r="C23" s="11"/>
      <c r="D23" s="12"/>
      <c r="E23" s="36">
        <f>'Salary Sheet - Data Field'!M14</f>
        <v>25</v>
      </c>
      <c r="F23" s="6"/>
      <c r="G23" s="6"/>
      <c r="H23" s="6"/>
      <c r="I23" s="6"/>
      <c r="J23" s="6"/>
      <c r="K23" s="6"/>
      <c r="L23" s="6"/>
      <c r="M23" s="6"/>
      <c r="N23" s="6"/>
      <c r="O23" s="6"/>
      <c r="P23" s="6"/>
      <c r="Q23" s="6"/>
      <c r="R23" s="6"/>
      <c r="S23" s="6"/>
      <c r="T23" s="6"/>
      <c r="U23" s="6"/>
      <c r="V23" s="6"/>
      <c r="W23" s="6"/>
      <c r="X23" s="6"/>
      <c r="Y23" s="6"/>
      <c r="Z23" s="6"/>
    </row>
    <row r="24" ht="14.25" customHeight="1">
      <c r="A24" s="8"/>
      <c r="B24" s="20" t="s">
        <v>60</v>
      </c>
      <c r="C24" s="11"/>
      <c r="D24" s="12"/>
      <c r="E24" s="45">
        <f>SUM(E22:E23)</f>
        <v>25</v>
      </c>
      <c r="F24" s="6"/>
      <c r="G24" s="6"/>
      <c r="H24" s="6"/>
      <c r="I24" s="6"/>
      <c r="J24" s="6"/>
      <c r="K24" s="6"/>
      <c r="L24" s="6"/>
      <c r="M24" s="6"/>
      <c r="N24" s="6"/>
      <c r="O24" s="6"/>
      <c r="P24" s="6"/>
      <c r="Q24" s="6"/>
      <c r="R24" s="6"/>
      <c r="S24" s="6"/>
      <c r="T24" s="6"/>
      <c r="U24" s="6"/>
      <c r="V24" s="6"/>
      <c r="W24" s="6"/>
      <c r="X24" s="6"/>
      <c r="Y24" s="6"/>
      <c r="Z24" s="6"/>
    </row>
    <row r="25" ht="14.25" customHeight="1">
      <c r="A25" s="8"/>
      <c r="B25" s="43"/>
      <c r="C25" s="11"/>
      <c r="D25" s="12"/>
      <c r="E25" s="36"/>
      <c r="F25" s="6"/>
      <c r="G25" s="6"/>
      <c r="H25" s="6"/>
      <c r="I25" s="6"/>
      <c r="J25" s="6"/>
      <c r="K25" s="6"/>
      <c r="L25" s="6"/>
      <c r="M25" s="6"/>
      <c r="N25" s="6"/>
      <c r="O25" s="6"/>
      <c r="P25" s="6"/>
      <c r="Q25" s="6"/>
      <c r="R25" s="6"/>
      <c r="S25" s="6"/>
      <c r="T25" s="6"/>
      <c r="U25" s="6"/>
      <c r="V25" s="6"/>
      <c r="W25" s="6"/>
      <c r="X25" s="6"/>
      <c r="Y25" s="6"/>
      <c r="Z25" s="6"/>
    </row>
    <row r="26" ht="14.25" customHeight="1">
      <c r="A26" s="8"/>
      <c r="B26" s="20" t="s">
        <v>61</v>
      </c>
      <c r="C26" s="11"/>
      <c r="D26" s="12"/>
      <c r="E26" s="45">
        <f>E19-E24</f>
        <v>146975</v>
      </c>
      <c r="F26" s="6"/>
      <c r="G26" s="6"/>
      <c r="H26" s="6"/>
      <c r="I26" s="6"/>
      <c r="J26" s="6"/>
      <c r="K26" s="6"/>
      <c r="L26" s="6"/>
      <c r="M26" s="6"/>
      <c r="N26" s="6"/>
      <c r="O26" s="6"/>
      <c r="P26" s="6"/>
      <c r="Q26" s="6"/>
      <c r="R26" s="6"/>
      <c r="S26" s="6"/>
      <c r="T26" s="6"/>
      <c r="U26" s="6"/>
      <c r="V26" s="6"/>
      <c r="W26" s="6"/>
      <c r="X26" s="6"/>
      <c r="Y26" s="6"/>
      <c r="Z26" s="6"/>
    </row>
    <row r="27" ht="14.25" customHeight="1">
      <c r="A27" s="8"/>
      <c r="B27" s="43"/>
      <c r="C27" s="11"/>
      <c r="D27" s="12"/>
      <c r="E27" s="36"/>
      <c r="F27" s="6"/>
      <c r="G27" s="6"/>
      <c r="H27" s="6"/>
      <c r="I27" s="6"/>
      <c r="J27" s="6"/>
      <c r="K27" s="6"/>
      <c r="L27" s="6"/>
      <c r="M27" s="6"/>
      <c r="N27" s="6"/>
      <c r="O27" s="6"/>
      <c r="P27" s="6"/>
      <c r="Q27" s="6"/>
      <c r="R27" s="6"/>
      <c r="S27" s="6"/>
      <c r="T27" s="6"/>
      <c r="U27" s="6"/>
      <c r="V27" s="6"/>
      <c r="W27" s="6"/>
      <c r="X27" s="6"/>
      <c r="Y27" s="6"/>
      <c r="Z27" s="6"/>
    </row>
    <row r="28" ht="14.25" customHeight="1">
      <c r="A28" s="8"/>
      <c r="B28" s="32" t="s">
        <v>64</v>
      </c>
      <c r="C28" s="11"/>
      <c r="D28" s="12"/>
      <c r="E28" s="36" t="str">
        <f>'Salary Sheet - Data Field'!V26</f>
        <v/>
      </c>
      <c r="F28" s="6"/>
      <c r="G28" s="6"/>
      <c r="H28" s="6"/>
      <c r="I28" s="6"/>
      <c r="J28" s="6"/>
      <c r="K28" s="6"/>
      <c r="L28" s="6"/>
      <c r="M28" s="6"/>
      <c r="N28" s="6"/>
      <c r="O28" s="6"/>
      <c r="P28" s="6"/>
      <c r="Q28" s="6"/>
      <c r="R28" s="6"/>
      <c r="S28" s="6"/>
      <c r="T28" s="6"/>
      <c r="U28" s="6"/>
      <c r="V28" s="6"/>
      <c r="W28" s="6"/>
      <c r="X28" s="6"/>
      <c r="Y28" s="6"/>
      <c r="Z28" s="6"/>
    </row>
    <row r="29" ht="14.25" customHeight="1">
      <c r="A29" s="8"/>
      <c r="B29" s="43"/>
      <c r="C29" s="11"/>
      <c r="D29" s="12"/>
      <c r="E29" s="36"/>
      <c r="F29" s="6"/>
      <c r="G29" s="6"/>
      <c r="H29" s="6"/>
      <c r="I29" s="6"/>
      <c r="J29" s="6"/>
      <c r="K29" s="6"/>
      <c r="L29" s="6"/>
      <c r="M29" s="6"/>
      <c r="N29" s="6"/>
      <c r="O29" s="6"/>
      <c r="P29" s="6"/>
      <c r="Q29" s="6"/>
      <c r="R29" s="6"/>
      <c r="S29" s="6"/>
      <c r="T29" s="6"/>
      <c r="U29" s="6"/>
      <c r="V29" s="6"/>
      <c r="W29" s="6"/>
      <c r="X29" s="6"/>
      <c r="Y29" s="6"/>
      <c r="Z29" s="6"/>
    </row>
    <row r="30" ht="14.25" customHeight="1">
      <c r="A30" s="8"/>
      <c r="B30" s="32" t="s">
        <v>65</v>
      </c>
      <c r="C30" s="11"/>
      <c r="D30" s="12"/>
      <c r="E30" s="36" t="str">
        <f>'Salary Sheet - Data Field'!W26</f>
        <v/>
      </c>
      <c r="F30" s="6"/>
      <c r="G30" s="6"/>
      <c r="H30" s="6"/>
      <c r="I30" s="6"/>
      <c r="J30" s="6"/>
      <c r="K30" s="6"/>
      <c r="L30" s="6"/>
      <c r="M30" s="6"/>
      <c r="N30" s="6"/>
      <c r="O30" s="6"/>
      <c r="P30" s="6"/>
      <c r="Q30" s="6"/>
      <c r="R30" s="6"/>
      <c r="S30" s="6"/>
      <c r="T30" s="6"/>
      <c r="U30" s="6"/>
      <c r="V30" s="6"/>
      <c r="W30" s="6"/>
      <c r="X30" s="6"/>
      <c r="Y30" s="6"/>
      <c r="Z30" s="6"/>
    </row>
    <row r="31" ht="14.25" customHeight="1">
      <c r="A31" s="8"/>
      <c r="B31" s="28"/>
      <c r="C31" s="11"/>
      <c r="D31" s="11"/>
      <c r="E31" s="12"/>
      <c r="F31" s="6"/>
      <c r="G31" s="6"/>
      <c r="H31" s="6"/>
      <c r="I31" s="6"/>
      <c r="J31" s="6"/>
      <c r="K31" s="6"/>
      <c r="L31" s="6"/>
      <c r="M31" s="6"/>
      <c r="N31" s="6"/>
      <c r="O31" s="6"/>
      <c r="P31" s="6"/>
      <c r="Q31" s="6"/>
      <c r="R31" s="6"/>
      <c r="S31" s="6"/>
      <c r="T31" s="6"/>
      <c r="U31" s="6"/>
      <c r="V31" s="6"/>
      <c r="W31" s="6"/>
      <c r="X31" s="6"/>
      <c r="Y31" s="6"/>
      <c r="Z31" s="6"/>
    </row>
    <row r="32" ht="14.25" customHeight="1">
      <c r="A32" s="8"/>
      <c r="B32" s="47" t="str">
        <f>E.A.R.H.B.Athauda!B32</f>
        <v>2022.06.25</v>
      </c>
      <c r="C32" s="48"/>
      <c r="D32" s="49"/>
      <c r="E32" s="50" t="s">
        <v>67</v>
      </c>
      <c r="F32" s="6"/>
      <c r="G32" s="6"/>
      <c r="H32" s="6"/>
      <c r="I32" s="6"/>
      <c r="J32" s="6"/>
      <c r="K32" s="6"/>
      <c r="L32" s="6"/>
      <c r="M32" s="6"/>
      <c r="N32" s="6"/>
      <c r="O32" s="6"/>
      <c r="P32" s="6"/>
      <c r="Q32" s="6"/>
      <c r="R32" s="6"/>
      <c r="S32" s="6"/>
      <c r="T32" s="6"/>
      <c r="U32" s="6"/>
      <c r="V32" s="6"/>
      <c r="W32" s="6"/>
      <c r="X32" s="6"/>
      <c r="Y32" s="6"/>
      <c r="Z32" s="6"/>
    </row>
    <row r="33" ht="14.25" customHeight="1">
      <c r="A33" s="8"/>
      <c r="B33" s="47" t="s">
        <v>68</v>
      </c>
      <c r="C33" s="51"/>
      <c r="D33" s="52"/>
      <c r="E33" s="47" t="s">
        <v>69</v>
      </c>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0">
    <mergeCell ref="B2:E2"/>
    <mergeCell ref="B3:E3"/>
    <mergeCell ref="B4:E4"/>
    <mergeCell ref="B6:E6"/>
    <mergeCell ref="B7:E7"/>
    <mergeCell ref="B8:E8"/>
    <mergeCell ref="B9:E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31:E31"/>
    <mergeCell ref="C32:D33"/>
    <mergeCell ref="B24:D24"/>
    <mergeCell ref="B25:D25"/>
    <mergeCell ref="B26:D26"/>
    <mergeCell ref="B27:D27"/>
    <mergeCell ref="B28:D28"/>
    <mergeCell ref="B29:D29"/>
    <mergeCell ref="B30:D30"/>
  </mergeCells>
  <hyperlinks>
    <hyperlink r:id="rId1" ref="B4"/>
  </hyperlinks>
  <printOptions/>
  <pageMargins bottom="0.75" footer="0.0" header="0.0" left="0.7" right="0.7" top="0.75"/>
  <pageSetup orientation="portrait"/>
  <headerFooter>
    <oddFooter>&amp;C000000&amp;P</oddFooter>
  </headerFooter>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12.29"/>
    <col customWidth="1" min="3" max="4" width="8.86"/>
    <col customWidth="1" min="5" max="5" width="16.71"/>
    <col customWidth="1" min="6" max="26" width="8.86"/>
  </cols>
  <sheetData>
    <row r="1" ht="13.5" customHeight="1">
      <c r="A1" s="3"/>
      <c r="B1" s="4"/>
      <c r="C1" s="4"/>
      <c r="D1" s="4"/>
      <c r="E1" s="4"/>
      <c r="F1" s="6"/>
      <c r="G1" s="6"/>
      <c r="H1" s="6"/>
      <c r="I1" s="6"/>
      <c r="J1" s="6"/>
      <c r="K1" s="6"/>
      <c r="L1" s="6"/>
      <c r="M1" s="6"/>
      <c r="N1" s="6"/>
      <c r="O1" s="6"/>
      <c r="P1" s="6"/>
      <c r="Q1" s="6"/>
      <c r="R1" s="6"/>
      <c r="S1" s="6"/>
      <c r="T1" s="6"/>
      <c r="U1" s="6"/>
      <c r="V1" s="6"/>
      <c r="W1" s="6"/>
      <c r="X1" s="6"/>
      <c r="Y1" s="6"/>
      <c r="Z1" s="6"/>
    </row>
    <row r="2" ht="14.25" customHeight="1">
      <c r="A2" s="8"/>
      <c r="B2" s="9" t="s">
        <v>6</v>
      </c>
      <c r="C2" s="11"/>
      <c r="D2" s="11"/>
      <c r="E2" s="12"/>
      <c r="F2" s="6"/>
      <c r="G2" s="6"/>
      <c r="H2" s="6"/>
      <c r="I2" s="6"/>
      <c r="J2" s="6"/>
      <c r="K2" s="6"/>
      <c r="L2" s="6"/>
      <c r="M2" s="6"/>
      <c r="N2" s="6"/>
      <c r="O2" s="6"/>
      <c r="P2" s="6"/>
      <c r="Q2" s="6"/>
      <c r="R2" s="6"/>
      <c r="S2" s="6"/>
      <c r="T2" s="6"/>
      <c r="U2" s="6"/>
      <c r="V2" s="6"/>
      <c r="W2" s="6"/>
      <c r="X2" s="6"/>
      <c r="Y2" s="6"/>
      <c r="Z2" s="6"/>
    </row>
    <row r="3" ht="14.25" customHeight="1">
      <c r="A3" s="8"/>
      <c r="B3" s="9" t="s">
        <v>10</v>
      </c>
      <c r="C3" s="11"/>
      <c r="D3" s="11"/>
      <c r="E3" s="12"/>
      <c r="F3" s="6"/>
      <c r="G3" s="6"/>
      <c r="H3" s="6"/>
      <c r="I3" s="6"/>
      <c r="J3" s="6"/>
      <c r="K3" s="6"/>
      <c r="L3" s="6"/>
      <c r="M3" s="6"/>
      <c r="N3" s="6"/>
      <c r="O3" s="6"/>
      <c r="P3" s="6"/>
      <c r="Q3" s="6"/>
      <c r="R3" s="6"/>
      <c r="S3" s="6"/>
      <c r="T3" s="6"/>
      <c r="U3" s="6"/>
      <c r="V3" s="6"/>
      <c r="W3" s="6"/>
      <c r="X3" s="6"/>
      <c r="Y3" s="6"/>
      <c r="Z3" s="6"/>
    </row>
    <row r="4" ht="14.25" customHeight="1">
      <c r="A4" s="8"/>
      <c r="B4" s="24" t="s">
        <v>12</v>
      </c>
      <c r="C4" s="11"/>
      <c r="D4" s="11"/>
      <c r="E4" s="12"/>
      <c r="F4" s="6"/>
      <c r="G4" s="6"/>
      <c r="H4" s="6"/>
      <c r="I4" s="6"/>
      <c r="J4" s="6"/>
      <c r="K4" s="6"/>
      <c r="L4" s="6"/>
      <c r="M4" s="6"/>
      <c r="N4" s="6"/>
      <c r="O4" s="6"/>
      <c r="P4" s="6"/>
      <c r="Q4" s="6"/>
      <c r="R4" s="6"/>
      <c r="S4" s="6"/>
      <c r="T4" s="6"/>
      <c r="U4" s="6"/>
      <c r="V4" s="6"/>
      <c r="W4" s="6"/>
      <c r="X4" s="6"/>
      <c r="Y4" s="6"/>
      <c r="Z4" s="6"/>
    </row>
    <row r="5" ht="14.25" customHeight="1">
      <c r="A5" s="8"/>
      <c r="B5" s="15" t="s">
        <v>72</v>
      </c>
      <c r="C5" s="16"/>
      <c r="D5" s="16"/>
      <c r="E5" s="16"/>
      <c r="F5" s="6"/>
      <c r="G5" s="6"/>
      <c r="H5" s="6"/>
      <c r="I5" s="6"/>
      <c r="J5" s="6"/>
      <c r="K5" s="6"/>
      <c r="L5" s="6"/>
      <c r="M5" s="6"/>
      <c r="N5" s="6"/>
      <c r="O5" s="6"/>
      <c r="P5" s="6"/>
      <c r="Q5" s="6"/>
      <c r="R5" s="6"/>
      <c r="S5" s="6"/>
      <c r="T5" s="6"/>
      <c r="U5" s="6"/>
      <c r="V5" s="6"/>
      <c r="W5" s="6"/>
      <c r="X5" s="6"/>
      <c r="Y5" s="6"/>
      <c r="Z5" s="6"/>
    </row>
    <row r="6" ht="14.25" customHeight="1">
      <c r="A6" s="8"/>
      <c r="B6" s="20" t="s">
        <v>73</v>
      </c>
      <c r="C6" s="11"/>
      <c r="D6" s="11"/>
      <c r="E6" s="12"/>
      <c r="F6" s="6"/>
      <c r="G6" s="6"/>
      <c r="H6" s="6"/>
      <c r="I6" s="6"/>
      <c r="J6" s="6"/>
      <c r="K6" s="6"/>
      <c r="L6" s="6"/>
      <c r="M6" s="6"/>
      <c r="N6" s="6"/>
      <c r="O6" s="6"/>
      <c r="P6" s="6"/>
      <c r="Q6" s="6"/>
      <c r="R6" s="6"/>
      <c r="S6" s="6"/>
      <c r="T6" s="6"/>
      <c r="U6" s="6"/>
      <c r="V6" s="6"/>
      <c r="W6" s="6"/>
      <c r="X6" s="6"/>
      <c r="Y6" s="6"/>
      <c r="Z6" s="6"/>
    </row>
    <row r="7" ht="14.25" customHeight="1">
      <c r="A7" s="8"/>
      <c r="B7" s="20" t="s">
        <v>20</v>
      </c>
      <c r="C7" s="11"/>
      <c r="D7" s="11"/>
      <c r="E7" s="12"/>
      <c r="F7" s="6"/>
      <c r="G7" s="6"/>
      <c r="H7" s="6"/>
      <c r="I7" s="6"/>
      <c r="J7" s="6"/>
      <c r="K7" s="6"/>
      <c r="L7" s="6"/>
      <c r="M7" s="6"/>
      <c r="N7" s="6"/>
      <c r="O7" s="6"/>
      <c r="P7" s="6"/>
      <c r="Q7" s="6"/>
      <c r="R7" s="6"/>
      <c r="S7" s="6"/>
      <c r="T7" s="6"/>
      <c r="U7" s="6"/>
      <c r="V7" s="6"/>
      <c r="W7" s="6"/>
      <c r="X7" s="6"/>
      <c r="Y7" s="6"/>
      <c r="Z7" s="6"/>
    </row>
    <row r="8" ht="14.25" customHeight="1">
      <c r="A8" s="8"/>
      <c r="B8" s="20" t="str">
        <f>R.P.I.U.Rajapaksha!B8</f>
        <v>Month :             July - 2022</v>
      </c>
      <c r="C8" s="11"/>
      <c r="D8" s="11"/>
      <c r="E8" s="12"/>
      <c r="F8" s="6"/>
      <c r="G8" s="6"/>
      <c r="H8" s="6"/>
      <c r="I8" s="6"/>
      <c r="J8" s="6"/>
      <c r="K8" s="6"/>
      <c r="L8" s="6"/>
      <c r="M8" s="6"/>
      <c r="N8" s="6"/>
      <c r="O8" s="6"/>
      <c r="P8" s="6"/>
      <c r="Q8" s="6"/>
      <c r="R8" s="6"/>
      <c r="S8" s="6"/>
      <c r="T8" s="6"/>
      <c r="U8" s="6"/>
      <c r="V8" s="6"/>
      <c r="W8" s="6"/>
      <c r="X8" s="6"/>
      <c r="Y8" s="6"/>
      <c r="Z8" s="6"/>
    </row>
    <row r="9" ht="14.25" customHeight="1">
      <c r="A9" s="8"/>
      <c r="B9" s="28"/>
      <c r="C9" s="11"/>
      <c r="D9" s="11"/>
      <c r="E9" s="12"/>
      <c r="F9" s="6"/>
      <c r="G9" s="6"/>
      <c r="H9" s="6"/>
      <c r="I9" s="6"/>
      <c r="J9" s="6"/>
      <c r="K9" s="6"/>
      <c r="L9" s="6"/>
      <c r="M9" s="6"/>
      <c r="N9" s="6"/>
      <c r="O9" s="6"/>
      <c r="P9" s="6"/>
      <c r="Q9" s="6"/>
      <c r="R9" s="6"/>
      <c r="S9" s="6"/>
      <c r="T9" s="6"/>
      <c r="U9" s="6"/>
      <c r="V9" s="6"/>
      <c r="W9" s="6"/>
      <c r="X9" s="6"/>
      <c r="Y9" s="6"/>
      <c r="Z9" s="6"/>
    </row>
    <row r="10" ht="14.25" customHeight="1">
      <c r="A10" s="8"/>
      <c r="B10" s="28"/>
      <c r="C10" s="11"/>
      <c r="D10" s="12"/>
      <c r="E10" s="31" t="s">
        <v>40</v>
      </c>
      <c r="F10" s="6"/>
      <c r="G10" s="6"/>
      <c r="H10" s="6"/>
      <c r="I10" s="6"/>
      <c r="J10" s="6"/>
      <c r="K10" s="6"/>
      <c r="L10" s="6"/>
      <c r="M10" s="6"/>
      <c r="N10" s="6"/>
      <c r="O10" s="6"/>
      <c r="P10" s="6"/>
      <c r="Q10" s="6"/>
      <c r="R10" s="6"/>
      <c r="S10" s="6"/>
      <c r="T10" s="6"/>
      <c r="U10" s="6"/>
      <c r="V10" s="6"/>
      <c r="W10" s="6"/>
      <c r="X10" s="6"/>
      <c r="Y10" s="6"/>
      <c r="Z10" s="6"/>
    </row>
    <row r="11" ht="14.25" customHeight="1">
      <c r="A11" s="8"/>
      <c r="B11" s="32" t="s">
        <v>42</v>
      </c>
      <c r="C11" s="11"/>
      <c r="D11" s="12"/>
      <c r="E11" s="36">
        <f>'Salary Sheet - Data Field'!D16</f>
        <v>20500</v>
      </c>
      <c r="F11" s="6"/>
      <c r="G11" s="6"/>
      <c r="H11" s="6"/>
      <c r="I11" s="6"/>
      <c r="J11" s="6"/>
      <c r="K11" s="6"/>
      <c r="L11" s="6"/>
      <c r="M11" s="6"/>
      <c r="N11" s="6"/>
      <c r="O11" s="6"/>
      <c r="P11" s="6"/>
      <c r="Q11" s="6"/>
      <c r="R11" s="6"/>
      <c r="S11" s="6"/>
      <c r="T11" s="6"/>
      <c r="U11" s="6"/>
      <c r="V11" s="6"/>
      <c r="W11" s="6"/>
      <c r="X11" s="6"/>
      <c r="Y11" s="6"/>
      <c r="Z11" s="6"/>
    </row>
    <row r="12" ht="14.25" customHeight="1">
      <c r="A12" s="8"/>
      <c r="B12" s="32" t="s">
        <v>44</v>
      </c>
      <c r="C12" s="11"/>
      <c r="D12" s="12"/>
      <c r="E12" s="36">
        <f>'Salary Sheet - Data Field'!E16</f>
        <v>3500</v>
      </c>
      <c r="F12" s="6"/>
      <c r="G12" s="6"/>
      <c r="H12" s="6"/>
      <c r="I12" s="6"/>
      <c r="J12" s="6"/>
      <c r="K12" s="6"/>
      <c r="L12" s="6"/>
      <c r="M12" s="6"/>
      <c r="N12" s="6"/>
      <c r="O12" s="6"/>
      <c r="P12" s="6"/>
      <c r="Q12" s="6"/>
      <c r="R12" s="6"/>
      <c r="S12" s="6"/>
      <c r="T12" s="6"/>
      <c r="U12" s="6"/>
      <c r="V12" s="6"/>
      <c r="W12" s="6"/>
      <c r="X12" s="6"/>
      <c r="Y12" s="6"/>
      <c r="Z12" s="6"/>
    </row>
    <row r="13" ht="14.25" customHeight="1">
      <c r="A13" s="8"/>
      <c r="B13" s="32" t="s">
        <v>46</v>
      </c>
      <c r="C13" s="11"/>
      <c r="D13" s="12"/>
      <c r="E13" s="36">
        <f>'Salary Sheet - Data Field'!G16</f>
        <v>16000</v>
      </c>
      <c r="F13" s="6"/>
      <c r="G13" s="6"/>
      <c r="H13" s="6"/>
      <c r="I13" s="6"/>
      <c r="J13" s="6"/>
      <c r="K13" s="6"/>
      <c r="L13" s="6"/>
      <c r="M13" s="6"/>
      <c r="N13" s="6"/>
      <c r="O13" s="6"/>
      <c r="P13" s="6"/>
      <c r="Q13" s="6"/>
      <c r="R13" s="6"/>
      <c r="S13" s="6"/>
      <c r="T13" s="6"/>
      <c r="U13" s="6"/>
      <c r="V13" s="6"/>
      <c r="W13" s="6"/>
      <c r="X13" s="6"/>
      <c r="Y13" s="6"/>
      <c r="Z13" s="6"/>
    </row>
    <row r="14" ht="14.25" customHeight="1">
      <c r="A14" s="8"/>
      <c r="B14" s="32" t="s">
        <v>48</v>
      </c>
      <c r="C14" s="11"/>
      <c r="D14" s="12"/>
      <c r="E14" s="36">
        <f>'Salary Sheet - Data Field'!I16</f>
        <v>10000</v>
      </c>
      <c r="F14" s="6"/>
      <c r="G14" s="6"/>
      <c r="H14" s="6"/>
      <c r="I14" s="6"/>
      <c r="J14" s="6"/>
      <c r="K14" s="6"/>
      <c r="L14" s="6"/>
      <c r="M14" s="6"/>
      <c r="N14" s="6"/>
      <c r="O14" s="6"/>
      <c r="P14" s="6"/>
      <c r="Q14" s="6"/>
      <c r="R14" s="6"/>
      <c r="S14" s="6"/>
      <c r="T14" s="6"/>
      <c r="U14" s="6"/>
      <c r="V14" s="6"/>
      <c r="W14" s="6"/>
      <c r="X14" s="6"/>
      <c r="Y14" s="6"/>
      <c r="Z14" s="6"/>
    </row>
    <row r="15" ht="14.25" customHeight="1">
      <c r="A15" s="8"/>
      <c r="B15" s="32" t="s">
        <v>76</v>
      </c>
      <c r="C15" s="11"/>
      <c r="D15" s="12"/>
      <c r="E15" s="36">
        <f>'Salary Sheet - Data Field'!H16</f>
        <v>25000</v>
      </c>
      <c r="F15" s="6"/>
      <c r="G15" s="6"/>
      <c r="H15" s="6"/>
      <c r="I15" s="6"/>
      <c r="J15" s="6"/>
      <c r="K15" s="6"/>
      <c r="L15" s="6"/>
      <c r="M15" s="6"/>
      <c r="N15" s="6"/>
      <c r="O15" s="6"/>
      <c r="P15" s="6"/>
      <c r="Q15" s="6"/>
      <c r="R15" s="6"/>
      <c r="S15" s="6"/>
      <c r="T15" s="6"/>
      <c r="U15" s="6"/>
      <c r="V15" s="6"/>
      <c r="W15" s="6"/>
      <c r="X15" s="6"/>
      <c r="Y15" s="6"/>
      <c r="Z15" s="6"/>
    </row>
    <row r="16" ht="14.25" customHeight="1">
      <c r="A16" s="8"/>
      <c r="B16" s="28"/>
      <c r="C16" s="11"/>
      <c r="D16" s="12"/>
      <c r="E16" s="36"/>
      <c r="F16" s="6"/>
      <c r="G16" s="6"/>
      <c r="H16" s="6"/>
      <c r="I16" s="6"/>
      <c r="J16" s="6"/>
      <c r="K16" s="6"/>
      <c r="L16" s="6"/>
      <c r="M16" s="6"/>
      <c r="N16" s="6"/>
      <c r="O16" s="6"/>
      <c r="P16" s="6"/>
      <c r="Q16" s="6"/>
      <c r="R16" s="6"/>
      <c r="S16" s="6"/>
      <c r="T16" s="6"/>
      <c r="U16" s="6"/>
      <c r="V16" s="6"/>
      <c r="W16" s="6"/>
      <c r="X16" s="6"/>
      <c r="Y16" s="6"/>
      <c r="Z16" s="6"/>
    </row>
    <row r="17" ht="14.25" customHeight="1">
      <c r="A17" s="8"/>
      <c r="B17" s="32" t="s">
        <v>63</v>
      </c>
      <c r="C17" s="11"/>
      <c r="D17" s="12"/>
      <c r="E17" s="36">
        <v>0.0</v>
      </c>
      <c r="F17" s="6"/>
      <c r="G17" s="6"/>
      <c r="H17" s="6"/>
      <c r="I17" s="6"/>
      <c r="J17" s="6"/>
      <c r="K17" s="6"/>
      <c r="L17" s="6"/>
      <c r="M17" s="6"/>
      <c r="N17" s="6"/>
      <c r="O17" s="6"/>
      <c r="P17" s="6"/>
      <c r="Q17" s="6"/>
      <c r="R17" s="6"/>
      <c r="S17" s="6"/>
      <c r="T17" s="6"/>
      <c r="U17" s="6"/>
      <c r="V17" s="6"/>
      <c r="W17" s="6"/>
      <c r="X17" s="6"/>
      <c r="Y17" s="6"/>
      <c r="Z17" s="6"/>
    </row>
    <row r="18" ht="14.25" customHeight="1">
      <c r="A18" s="8"/>
      <c r="B18" s="32" t="s">
        <v>52</v>
      </c>
      <c r="C18" s="11"/>
      <c r="D18" s="12"/>
      <c r="E18" s="36">
        <v>0.0</v>
      </c>
      <c r="F18" s="6"/>
      <c r="G18" s="6"/>
      <c r="H18" s="6"/>
      <c r="I18" s="6"/>
      <c r="J18" s="6"/>
      <c r="K18" s="6"/>
      <c r="L18" s="6"/>
      <c r="M18" s="6"/>
      <c r="N18" s="6"/>
      <c r="O18" s="6"/>
      <c r="P18" s="6"/>
      <c r="Q18" s="6"/>
      <c r="R18" s="6"/>
      <c r="S18" s="6"/>
      <c r="T18" s="6"/>
      <c r="U18" s="6"/>
      <c r="V18" s="6"/>
      <c r="W18" s="6"/>
      <c r="X18" s="6"/>
      <c r="Y18" s="6"/>
      <c r="Z18" s="6"/>
    </row>
    <row r="19" ht="14.25" customHeight="1">
      <c r="A19" s="8"/>
      <c r="B19" s="43"/>
      <c r="C19" s="11"/>
      <c r="D19" s="12"/>
      <c r="E19" s="36"/>
      <c r="F19" s="6"/>
      <c r="G19" s="6"/>
      <c r="H19" s="6"/>
      <c r="I19" s="6"/>
      <c r="J19" s="6"/>
      <c r="K19" s="6"/>
      <c r="L19" s="6"/>
      <c r="M19" s="6"/>
      <c r="N19" s="6"/>
      <c r="O19" s="6"/>
      <c r="P19" s="6"/>
      <c r="Q19" s="6"/>
      <c r="R19" s="6"/>
      <c r="S19" s="6"/>
      <c r="T19" s="6"/>
      <c r="U19" s="6"/>
      <c r="V19" s="6"/>
      <c r="W19" s="6"/>
      <c r="X19" s="6"/>
      <c r="Y19" s="6"/>
      <c r="Z19" s="6"/>
    </row>
    <row r="20" ht="14.25" customHeight="1">
      <c r="A20" s="8"/>
      <c r="B20" s="20" t="s">
        <v>54</v>
      </c>
      <c r="C20" s="11"/>
      <c r="D20" s="12"/>
      <c r="E20" s="45">
        <f>SUM(E11:E19)</f>
        <v>75000</v>
      </c>
      <c r="F20" s="6"/>
      <c r="G20" s="6"/>
      <c r="H20" s="6"/>
      <c r="I20" s="6"/>
      <c r="J20" s="6"/>
      <c r="K20" s="6"/>
      <c r="L20" s="6"/>
      <c r="M20" s="6"/>
      <c r="N20" s="6"/>
      <c r="O20" s="6"/>
      <c r="P20" s="6"/>
      <c r="Q20" s="6"/>
      <c r="R20" s="6"/>
      <c r="S20" s="6"/>
      <c r="T20" s="6"/>
      <c r="U20" s="6"/>
      <c r="V20" s="6"/>
      <c r="W20" s="6"/>
      <c r="X20" s="6"/>
      <c r="Y20" s="6"/>
      <c r="Z20" s="6"/>
    </row>
    <row r="21" ht="14.25" customHeight="1">
      <c r="A21" s="8"/>
      <c r="B21" s="43"/>
      <c r="C21" s="11"/>
      <c r="D21" s="12"/>
      <c r="E21" s="36"/>
      <c r="F21" s="6"/>
      <c r="G21" s="6"/>
      <c r="H21" s="6"/>
      <c r="I21" s="6"/>
      <c r="J21" s="6"/>
      <c r="K21" s="6"/>
      <c r="L21" s="6"/>
      <c r="M21" s="6"/>
      <c r="N21" s="6"/>
      <c r="O21" s="6"/>
      <c r="P21" s="6"/>
      <c r="Q21" s="6"/>
      <c r="R21" s="6"/>
      <c r="S21" s="6"/>
      <c r="T21" s="6"/>
      <c r="U21" s="6"/>
      <c r="V21" s="6"/>
      <c r="W21" s="6"/>
      <c r="X21" s="6"/>
      <c r="Y21" s="6"/>
      <c r="Z21" s="6"/>
    </row>
    <row r="22" ht="14.25" customHeight="1">
      <c r="A22" s="8"/>
      <c r="B22" s="20" t="s">
        <v>56</v>
      </c>
      <c r="C22" s="11"/>
      <c r="D22" s="12"/>
      <c r="E22" s="36"/>
      <c r="F22" s="6"/>
      <c r="G22" s="6"/>
      <c r="H22" s="6"/>
      <c r="I22" s="6"/>
      <c r="J22" s="6"/>
      <c r="K22" s="6"/>
      <c r="L22" s="6"/>
      <c r="M22" s="6"/>
      <c r="N22" s="6"/>
      <c r="O22" s="6"/>
      <c r="P22" s="6"/>
      <c r="Q22" s="6"/>
      <c r="R22" s="6"/>
      <c r="S22" s="6"/>
      <c r="T22" s="6"/>
      <c r="U22" s="6"/>
      <c r="V22" s="6"/>
      <c r="W22" s="6"/>
      <c r="X22" s="6"/>
      <c r="Y22" s="6"/>
      <c r="Z22" s="6"/>
    </row>
    <row r="23" ht="14.25" customHeight="1">
      <c r="A23" s="8"/>
      <c r="B23" s="32" t="s">
        <v>58</v>
      </c>
      <c r="C23" s="11"/>
      <c r="D23" s="12"/>
      <c r="E23" s="36">
        <f>'Salary Sheet - Data Field'!K16</f>
        <v>0</v>
      </c>
      <c r="F23" s="6"/>
      <c r="G23" s="6"/>
      <c r="H23" s="6"/>
      <c r="I23" s="6"/>
      <c r="J23" s="6"/>
      <c r="K23" s="6"/>
      <c r="L23" s="6"/>
      <c r="M23" s="6"/>
      <c r="N23" s="6"/>
      <c r="O23" s="6"/>
      <c r="P23" s="6"/>
      <c r="Q23" s="6"/>
      <c r="R23" s="6"/>
      <c r="S23" s="6"/>
      <c r="T23" s="6"/>
      <c r="U23" s="6"/>
      <c r="V23" s="6"/>
      <c r="W23" s="6"/>
      <c r="X23" s="6"/>
      <c r="Y23" s="6"/>
      <c r="Z23" s="6"/>
    </row>
    <row r="24" ht="14.25" customHeight="1">
      <c r="A24" s="8"/>
      <c r="B24" s="32" t="s">
        <v>59</v>
      </c>
      <c r="C24" s="11"/>
      <c r="D24" s="12"/>
      <c r="E24" s="36">
        <f>'Salary Sheet - Data Field'!M16</f>
        <v>25</v>
      </c>
      <c r="F24" s="6"/>
      <c r="G24" s="6"/>
      <c r="H24" s="6"/>
      <c r="I24" s="6"/>
      <c r="J24" s="6"/>
      <c r="K24" s="6"/>
      <c r="L24" s="6"/>
      <c r="M24" s="6"/>
      <c r="N24" s="6"/>
      <c r="O24" s="6"/>
      <c r="P24" s="6"/>
      <c r="Q24" s="6"/>
      <c r="R24" s="6"/>
      <c r="S24" s="6"/>
      <c r="T24" s="6"/>
      <c r="U24" s="6"/>
      <c r="V24" s="6"/>
      <c r="W24" s="6"/>
      <c r="X24" s="6"/>
      <c r="Y24" s="6"/>
      <c r="Z24" s="6"/>
    </row>
    <row r="25" ht="14.25" customHeight="1">
      <c r="A25" s="8"/>
      <c r="B25" s="20" t="s">
        <v>60</v>
      </c>
      <c r="C25" s="11"/>
      <c r="D25" s="12"/>
      <c r="E25" s="45">
        <f>SUM(E23:E24)</f>
        <v>25</v>
      </c>
      <c r="F25" s="6"/>
      <c r="G25" s="6"/>
      <c r="H25" s="6"/>
      <c r="I25" s="6"/>
      <c r="J25" s="6"/>
      <c r="K25" s="6"/>
      <c r="L25" s="6"/>
      <c r="M25" s="6"/>
      <c r="N25" s="6"/>
      <c r="O25" s="6"/>
      <c r="P25" s="6"/>
      <c r="Q25" s="6"/>
      <c r="R25" s="6"/>
      <c r="S25" s="6"/>
      <c r="T25" s="6"/>
      <c r="U25" s="6"/>
      <c r="V25" s="6"/>
      <c r="W25" s="6"/>
      <c r="X25" s="6"/>
      <c r="Y25" s="6"/>
      <c r="Z25" s="6"/>
    </row>
    <row r="26" ht="14.25" customHeight="1">
      <c r="A26" s="8"/>
      <c r="B26" s="43"/>
      <c r="C26" s="11"/>
      <c r="D26" s="12"/>
      <c r="E26" s="36"/>
      <c r="F26" s="6"/>
      <c r="G26" s="6"/>
      <c r="H26" s="6"/>
      <c r="I26" s="6"/>
      <c r="J26" s="6"/>
      <c r="K26" s="6"/>
      <c r="L26" s="6"/>
      <c r="M26" s="6"/>
      <c r="N26" s="6"/>
      <c r="O26" s="6"/>
      <c r="P26" s="6"/>
      <c r="Q26" s="6"/>
      <c r="R26" s="6"/>
      <c r="S26" s="6"/>
      <c r="T26" s="6"/>
      <c r="U26" s="6"/>
      <c r="V26" s="6"/>
      <c r="W26" s="6"/>
      <c r="X26" s="6"/>
      <c r="Y26" s="6"/>
      <c r="Z26" s="6"/>
    </row>
    <row r="27" ht="14.25" customHeight="1">
      <c r="A27" s="8"/>
      <c r="B27" s="20" t="s">
        <v>61</v>
      </c>
      <c r="C27" s="11"/>
      <c r="D27" s="12"/>
      <c r="E27" s="45">
        <f>E20-E25</f>
        <v>74975</v>
      </c>
      <c r="F27" s="6"/>
      <c r="G27" s="6"/>
      <c r="H27" s="6"/>
      <c r="I27" s="6"/>
      <c r="J27" s="6"/>
      <c r="K27" s="6"/>
      <c r="L27" s="6"/>
      <c r="M27" s="6"/>
      <c r="N27" s="6"/>
      <c r="O27" s="6"/>
      <c r="P27" s="6"/>
      <c r="Q27" s="6"/>
      <c r="R27" s="6"/>
      <c r="S27" s="6"/>
      <c r="T27" s="6"/>
      <c r="U27" s="6"/>
      <c r="V27" s="6"/>
      <c r="W27" s="6"/>
      <c r="X27" s="6"/>
      <c r="Y27" s="6"/>
      <c r="Z27" s="6"/>
    </row>
    <row r="28" ht="14.25" customHeight="1">
      <c r="A28" s="8"/>
      <c r="B28" s="43"/>
      <c r="C28" s="11"/>
      <c r="D28" s="12"/>
      <c r="E28" s="36"/>
      <c r="F28" s="6"/>
      <c r="G28" s="6"/>
      <c r="H28" s="6"/>
      <c r="I28" s="6"/>
      <c r="J28" s="6"/>
      <c r="K28" s="6"/>
      <c r="L28" s="6"/>
      <c r="M28" s="6"/>
      <c r="N28" s="6"/>
      <c r="O28" s="6"/>
      <c r="P28" s="6"/>
      <c r="Q28" s="6"/>
      <c r="R28" s="6"/>
      <c r="S28" s="6"/>
      <c r="T28" s="6"/>
      <c r="U28" s="6"/>
      <c r="V28" s="6"/>
      <c r="W28" s="6"/>
      <c r="X28" s="6"/>
      <c r="Y28" s="6"/>
      <c r="Z28" s="6"/>
    </row>
    <row r="29" ht="14.25" customHeight="1">
      <c r="A29" s="8"/>
      <c r="B29" s="32" t="s">
        <v>64</v>
      </c>
      <c r="C29" s="11"/>
      <c r="D29" s="12"/>
      <c r="E29" s="36">
        <f>'Salary Sheet - Data Field'!Q16</f>
        <v>0</v>
      </c>
      <c r="F29" s="6"/>
      <c r="G29" s="6"/>
      <c r="H29" s="6"/>
      <c r="I29" s="6"/>
      <c r="J29" s="6"/>
      <c r="K29" s="6"/>
      <c r="L29" s="6"/>
      <c r="M29" s="6"/>
      <c r="N29" s="6"/>
      <c r="O29" s="6"/>
      <c r="P29" s="6"/>
      <c r="Q29" s="6"/>
      <c r="R29" s="6"/>
      <c r="S29" s="6"/>
      <c r="T29" s="6"/>
      <c r="U29" s="6"/>
      <c r="V29" s="6"/>
      <c r="W29" s="6"/>
      <c r="X29" s="6"/>
      <c r="Y29" s="6"/>
      <c r="Z29" s="6"/>
    </row>
    <row r="30" ht="14.25" customHeight="1">
      <c r="A30" s="8"/>
      <c r="B30" s="43"/>
      <c r="C30" s="11"/>
      <c r="D30" s="12"/>
      <c r="E30" s="36"/>
      <c r="F30" s="6"/>
      <c r="G30" s="6"/>
      <c r="H30" s="6"/>
      <c r="I30" s="6"/>
      <c r="J30" s="6"/>
      <c r="K30" s="6"/>
      <c r="L30" s="6"/>
      <c r="M30" s="6"/>
      <c r="N30" s="6"/>
      <c r="O30" s="6"/>
      <c r="P30" s="6"/>
      <c r="Q30" s="6"/>
      <c r="R30" s="6"/>
      <c r="S30" s="6"/>
      <c r="T30" s="6"/>
      <c r="U30" s="6"/>
      <c r="V30" s="6"/>
      <c r="W30" s="6"/>
      <c r="X30" s="6"/>
      <c r="Y30" s="6"/>
      <c r="Z30" s="6"/>
    </row>
    <row r="31" ht="14.25" customHeight="1">
      <c r="A31" s="8"/>
      <c r="B31" s="32" t="s">
        <v>65</v>
      </c>
      <c r="C31" s="11"/>
      <c r="D31" s="12"/>
      <c r="E31" s="36">
        <f>'Salary Sheet - Data Field'!R16</f>
        <v>0</v>
      </c>
      <c r="F31" s="6"/>
      <c r="G31" s="6"/>
      <c r="H31" s="6"/>
      <c r="I31" s="6"/>
      <c r="J31" s="6"/>
      <c r="K31" s="6"/>
      <c r="L31" s="6"/>
      <c r="M31" s="6"/>
      <c r="N31" s="6"/>
      <c r="O31" s="6"/>
      <c r="P31" s="6"/>
      <c r="Q31" s="6"/>
      <c r="R31" s="6"/>
      <c r="S31" s="6"/>
      <c r="T31" s="6"/>
      <c r="U31" s="6"/>
      <c r="V31" s="6"/>
      <c r="W31" s="6"/>
      <c r="X31" s="6"/>
      <c r="Y31" s="6"/>
      <c r="Z31" s="6"/>
    </row>
    <row r="32" ht="14.25" customHeight="1">
      <c r="A32" s="8"/>
      <c r="B32" s="28"/>
      <c r="C32" s="11"/>
      <c r="D32" s="11"/>
      <c r="E32" s="12"/>
      <c r="F32" s="6"/>
      <c r="G32" s="6"/>
      <c r="H32" s="6"/>
      <c r="I32" s="6"/>
      <c r="J32" s="6"/>
      <c r="K32" s="6"/>
      <c r="L32" s="6"/>
      <c r="M32" s="6"/>
      <c r="N32" s="6"/>
      <c r="O32" s="6"/>
      <c r="P32" s="6"/>
      <c r="Q32" s="6"/>
      <c r="R32" s="6"/>
      <c r="S32" s="6"/>
      <c r="T32" s="6"/>
      <c r="U32" s="6"/>
      <c r="V32" s="6"/>
      <c r="W32" s="6"/>
      <c r="X32" s="6"/>
      <c r="Y32" s="6"/>
      <c r="Z32" s="6"/>
    </row>
    <row r="33" ht="14.25" customHeight="1">
      <c r="A33" s="8"/>
      <c r="B33" s="47" t="str">
        <f>R.P.I.U.Rajapaksha!B32</f>
        <v>2022.06.25</v>
      </c>
      <c r="C33" s="48"/>
      <c r="D33" s="49"/>
      <c r="E33" s="50" t="s">
        <v>67</v>
      </c>
      <c r="F33" s="6"/>
      <c r="G33" s="6"/>
      <c r="H33" s="6"/>
      <c r="I33" s="6"/>
      <c r="J33" s="6"/>
      <c r="K33" s="6"/>
      <c r="L33" s="6"/>
      <c r="M33" s="6"/>
      <c r="N33" s="6"/>
      <c r="O33" s="6"/>
      <c r="P33" s="6"/>
      <c r="Q33" s="6"/>
      <c r="R33" s="6"/>
      <c r="S33" s="6"/>
      <c r="T33" s="6"/>
      <c r="U33" s="6"/>
      <c r="V33" s="6"/>
      <c r="W33" s="6"/>
      <c r="X33" s="6"/>
      <c r="Y33" s="6"/>
      <c r="Z33" s="6"/>
    </row>
    <row r="34" ht="14.25" customHeight="1">
      <c r="A34" s="8"/>
      <c r="B34" s="47" t="s">
        <v>68</v>
      </c>
      <c r="C34" s="51"/>
      <c r="D34" s="52"/>
      <c r="E34" s="47" t="s">
        <v>69</v>
      </c>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1">
    <mergeCell ref="B2:E2"/>
    <mergeCell ref="B3:E3"/>
    <mergeCell ref="B4:E4"/>
    <mergeCell ref="B6:E6"/>
    <mergeCell ref="B7:E7"/>
    <mergeCell ref="B8:E8"/>
    <mergeCell ref="B9:E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31:D31"/>
    <mergeCell ref="B32:E32"/>
    <mergeCell ref="C33:D34"/>
    <mergeCell ref="B24:D24"/>
    <mergeCell ref="B25:D25"/>
    <mergeCell ref="B26:D26"/>
    <mergeCell ref="B27:D27"/>
    <mergeCell ref="B28:D28"/>
    <mergeCell ref="B29:D29"/>
    <mergeCell ref="B30:D30"/>
  </mergeCells>
  <hyperlinks>
    <hyperlink r:id="rId1" ref="B4"/>
  </hyperlinks>
  <printOptions/>
  <pageMargins bottom="0.75" footer="0.0" header="0.0" left="0.7" right="0.7" top="0.75"/>
  <pageSetup orientation="portrait"/>
  <headerFooter>
    <oddFooter>&amp;C000000&amp;P</oddFooter>
  </headerFooter>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12.29"/>
    <col customWidth="1" min="3" max="4" width="8.86"/>
    <col customWidth="1" min="5" max="5" width="16.71"/>
    <col customWidth="1" min="6" max="26" width="8.86"/>
  </cols>
  <sheetData>
    <row r="1" ht="13.5" customHeight="1">
      <c r="A1" s="3"/>
      <c r="B1" s="4"/>
      <c r="C1" s="4"/>
      <c r="D1" s="4"/>
      <c r="E1" s="4"/>
      <c r="F1" s="6"/>
      <c r="G1" s="6"/>
      <c r="H1" s="6"/>
      <c r="I1" s="6"/>
      <c r="J1" s="6"/>
      <c r="K1" s="6"/>
      <c r="L1" s="6"/>
      <c r="M1" s="6"/>
      <c r="N1" s="6"/>
      <c r="O1" s="6"/>
      <c r="P1" s="6"/>
      <c r="Q1" s="6"/>
      <c r="R1" s="6"/>
      <c r="S1" s="6"/>
      <c r="T1" s="6"/>
      <c r="U1" s="6"/>
      <c r="V1" s="6"/>
      <c r="W1" s="6"/>
      <c r="X1" s="6"/>
      <c r="Y1" s="6"/>
      <c r="Z1" s="6"/>
    </row>
    <row r="2" ht="14.25" customHeight="1">
      <c r="A2" s="8"/>
      <c r="B2" s="9" t="s">
        <v>6</v>
      </c>
      <c r="C2" s="11"/>
      <c r="D2" s="11"/>
      <c r="E2" s="12"/>
      <c r="F2" s="6"/>
      <c r="G2" s="6"/>
      <c r="H2" s="6"/>
      <c r="I2" s="6"/>
      <c r="J2" s="6"/>
      <c r="K2" s="6"/>
      <c r="L2" s="6"/>
      <c r="M2" s="6"/>
      <c r="N2" s="6"/>
      <c r="O2" s="6"/>
      <c r="P2" s="6"/>
      <c r="Q2" s="6"/>
      <c r="R2" s="6"/>
      <c r="S2" s="6"/>
      <c r="T2" s="6"/>
      <c r="U2" s="6"/>
      <c r="V2" s="6"/>
      <c r="W2" s="6"/>
      <c r="X2" s="6"/>
      <c r="Y2" s="6"/>
      <c r="Z2" s="6"/>
    </row>
    <row r="3" ht="14.25" customHeight="1">
      <c r="A3" s="8"/>
      <c r="B3" s="9" t="s">
        <v>10</v>
      </c>
      <c r="C3" s="11"/>
      <c r="D3" s="11"/>
      <c r="E3" s="12"/>
      <c r="F3" s="6"/>
      <c r="G3" s="6"/>
      <c r="H3" s="6"/>
      <c r="I3" s="6"/>
      <c r="J3" s="6"/>
      <c r="K3" s="6"/>
      <c r="L3" s="6"/>
      <c r="M3" s="6"/>
      <c r="N3" s="6"/>
      <c r="O3" s="6"/>
      <c r="P3" s="6"/>
      <c r="Q3" s="6"/>
      <c r="R3" s="6"/>
      <c r="S3" s="6"/>
      <c r="T3" s="6"/>
      <c r="U3" s="6"/>
      <c r="V3" s="6"/>
      <c r="W3" s="6"/>
      <c r="X3" s="6"/>
      <c r="Y3" s="6"/>
      <c r="Z3" s="6"/>
    </row>
    <row r="4" ht="14.25" customHeight="1">
      <c r="A4" s="8"/>
      <c r="B4" s="55" t="s">
        <v>12</v>
      </c>
      <c r="C4" s="11"/>
      <c r="D4" s="11"/>
      <c r="E4" s="12"/>
      <c r="F4" s="6"/>
      <c r="G4" s="6"/>
      <c r="H4" s="6"/>
      <c r="I4" s="6"/>
      <c r="J4" s="6"/>
      <c r="K4" s="6"/>
      <c r="L4" s="6"/>
      <c r="M4" s="6"/>
      <c r="N4" s="6"/>
      <c r="O4" s="6"/>
      <c r="P4" s="6"/>
      <c r="Q4" s="6"/>
      <c r="R4" s="6"/>
      <c r="S4" s="6"/>
      <c r="T4" s="6"/>
      <c r="U4" s="6"/>
      <c r="V4" s="6"/>
      <c r="W4" s="6"/>
      <c r="X4" s="6"/>
      <c r="Y4" s="6"/>
      <c r="Z4" s="6"/>
    </row>
    <row r="5" ht="14.25" customHeight="1">
      <c r="A5" s="8"/>
      <c r="B5" s="15" t="s">
        <v>74</v>
      </c>
      <c r="C5" s="16"/>
      <c r="D5" s="16"/>
      <c r="E5" s="16"/>
      <c r="F5" s="6"/>
      <c r="G5" s="6"/>
      <c r="H5" s="6"/>
      <c r="I5" s="6"/>
      <c r="J5" s="6"/>
      <c r="K5" s="6"/>
      <c r="L5" s="6"/>
      <c r="M5" s="6"/>
      <c r="N5" s="6"/>
      <c r="O5" s="6"/>
      <c r="P5" s="6"/>
      <c r="Q5" s="6"/>
      <c r="R5" s="6"/>
      <c r="S5" s="6"/>
      <c r="T5" s="6"/>
      <c r="U5" s="6"/>
      <c r="V5" s="6"/>
      <c r="W5" s="6"/>
      <c r="X5" s="6"/>
      <c r="Y5" s="6"/>
      <c r="Z5" s="6"/>
    </row>
    <row r="6" ht="14.25" customHeight="1">
      <c r="A6" s="8"/>
      <c r="B6" s="20" t="s">
        <v>75</v>
      </c>
      <c r="C6" s="11"/>
      <c r="D6" s="11"/>
      <c r="E6" s="12"/>
      <c r="F6" s="6"/>
      <c r="G6" s="6"/>
      <c r="H6" s="6"/>
      <c r="I6" s="6"/>
      <c r="J6" s="6"/>
      <c r="K6" s="6"/>
      <c r="L6" s="6"/>
      <c r="M6" s="6"/>
      <c r="N6" s="6"/>
      <c r="O6" s="6"/>
      <c r="P6" s="6"/>
      <c r="Q6" s="6"/>
      <c r="R6" s="6"/>
      <c r="S6" s="6"/>
      <c r="T6" s="6"/>
      <c r="U6" s="6"/>
      <c r="V6" s="6"/>
      <c r="W6" s="6"/>
      <c r="X6" s="6"/>
      <c r="Y6" s="6"/>
      <c r="Z6" s="6"/>
    </row>
    <row r="7" ht="14.25" customHeight="1">
      <c r="A7" s="8"/>
      <c r="B7" s="20" t="s">
        <v>20</v>
      </c>
      <c r="C7" s="11"/>
      <c r="D7" s="11"/>
      <c r="E7" s="12"/>
      <c r="F7" s="6"/>
      <c r="G7" s="6"/>
      <c r="H7" s="6"/>
      <c r="I7" s="6"/>
      <c r="J7" s="6"/>
      <c r="K7" s="6"/>
      <c r="L7" s="6"/>
      <c r="M7" s="6"/>
      <c r="N7" s="6"/>
      <c r="O7" s="6"/>
      <c r="P7" s="6"/>
      <c r="Q7" s="6"/>
      <c r="R7" s="6"/>
      <c r="S7" s="6"/>
      <c r="T7" s="6"/>
      <c r="U7" s="6"/>
      <c r="V7" s="6"/>
      <c r="W7" s="6"/>
      <c r="X7" s="6"/>
      <c r="Y7" s="6"/>
      <c r="Z7" s="6"/>
    </row>
    <row r="8" ht="14.25" customHeight="1">
      <c r="A8" s="8"/>
      <c r="B8" s="20" t="str">
        <f>R.P.I.U.Rajapaksha!B8</f>
        <v>Month :             July - 2022</v>
      </c>
      <c r="C8" s="11"/>
      <c r="D8" s="11"/>
      <c r="E8" s="12"/>
      <c r="F8" s="6"/>
      <c r="G8" s="6"/>
      <c r="H8" s="6"/>
      <c r="I8" s="6"/>
      <c r="J8" s="6"/>
      <c r="K8" s="6"/>
      <c r="L8" s="6"/>
      <c r="M8" s="6"/>
      <c r="N8" s="6"/>
      <c r="O8" s="6"/>
      <c r="P8" s="6"/>
      <c r="Q8" s="6"/>
      <c r="R8" s="6"/>
      <c r="S8" s="6"/>
      <c r="T8" s="6"/>
      <c r="U8" s="6"/>
      <c r="V8" s="6"/>
      <c r="W8" s="6"/>
      <c r="X8" s="6"/>
      <c r="Y8" s="6"/>
      <c r="Z8" s="6"/>
    </row>
    <row r="9" ht="14.25" customHeight="1">
      <c r="A9" s="8"/>
      <c r="B9" s="28"/>
      <c r="C9" s="11"/>
      <c r="D9" s="11"/>
      <c r="E9" s="12"/>
      <c r="F9" s="6"/>
      <c r="G9" s="6"/>
      <c r="H9" s="6"/>
      <c r="I9" s="6"/>
      <c r="J9" s="6"/>
      <c r="K9" s="6"/>
      <c r="L9" s="6"/>
      <c r="M9" s="6"/>
      <c r="N9" s="6"/>
      <c r="O9" s="6"/>
      <c r="P9" s="6"/>
      <c r="Q9" s="6"/>
      <c r="R9" s="6"/>
      <c r="S9" s="6"/>
      <c r="T9" s="6"/>
      <c r="U9" s="6"/>
      <c r="V9" s="6"/>
      <c r="W9" s="6"/>
      <c r="X9" s="6"/>
      <c r="Y9" s="6"/>
      <c r="Z9" s="6"/>
    </row>
    <row r="10" ht="14.25" customHeight="1">
      <c r="A10" s="8"/>
      <c r="B10" s="28"/>
      <c r="C10" s="11"/>
      <c r="D10" s="12"/>
      <c r="E10" s="31" t="s">
        <v>40</v>
      </c>
      <c r="F10" s="6"/>
      <c r="G10" s="6"/>
      <c r="H10" s="6"/>
      <c r="I10" s="6"/>
      <c r="J10" s="6"/>
      <c r="K10" s="6"/>
      <c r="L10" s="6"/>
      <c r="M10" s="6"/>
      <c r="N10" s="6"/>
      <c r="O10" s="6"/>
      <c r="P10" s="6"/>
      <c r="Q10" s="6"/>
      <c r="R10" s="6"/>
      <c r="S10" s="6"/>
      <c r="T10" s="6"/>
      <c r="U10" s="6"/>
      <c r="V10" s="6"/>
      <c r="W10" s="6"/>
      <c r="X10" s="6"/>
      <c r="Y10" s="6"/>
      <c r="Z10" s="6"/>
    </row>
    <row r="11" ht="14.25" customHeight="1">
      <c r="A11" s="8"/>
      <c r="B11" s="32" t="s">
        <v>42</v>
      </c>
      <c r="C11" s="11"/>
      <c r="D11" s="12"/>
      <c r="E11" s="36">
        <f>'Salary Sheet - Data Field'!D18</f>
        <v>46500</v>
      </c>
      <c r="F11" s="6"/>
      <c r="G11" s="6"/>
      <c r="H11" s="6"/>
      <c r="I11" s="6"/>
      <c r="J11" s="6"/>
      <c r="K11" s="6"/>
      <c r="L11" s="6"/>
      <c r="M11" s="6"/>
      <c r="N11" s="6"/>
      <c r="O11" s="6"/>
      <c r="P11" s="6"/>
      <c r="Q11" s="6"/>
      <c r="R11" s="6"/>
      <c r="S11" s="6"/>
      <c r="T11" s="6"/>
      <c r="U11" s="6"/>
      <c r="V11" s="6"/>
      <c r="W11" s="6"/>
      <c r="X11" s="6"/>
      <c r="Y11" s="6"/>
      <c r="Z11" s="6"/>
    </row>
    <row r="12" ht="14.25" customHeight="1">
      <c r="A12" s="8"/>
      <c r="B12" s="32" t="s">
        <v>44</v>
      </c>
      <c r="C12" s="11"/>
      <c r="D12" s="12"/>
      <c r="E12" s="36">
        <f>'Salary Sheet - Data Field'!E18</f>
        <v>3500</v>
      </c>
      <c r="F12" s="6"/>
      <c r="G12" s="6"/>
      <c r="H12" s="6"/>
      <c r="I12" s="6"/>
      <c r="J12" s="6"/>
      <c r="K12" s="6"/>
      <c r="L12" s="6"/>
      <c r="M12" s="6"/>
      <c r="N12" s="6"/>
      <c r="O12" s="6"/>
      <c r="P12" s="6"/>
      <c r="Q12" s="6"/>
      <c r="R12" s="6"/>
      <c r="S12" s="6"/>
      <c r="T12" s="6"/>
      <c r="U12" s="6"/>
      <c r="V12" s="6"/>
      <c r="W12" s="6"/>
      <c r="X12" s="6"/>
      <c r="Y12" s="6"/>
      <c r="Z12" s="6"/>
    </row>
    <row r="13" ht="14.25" customHeight="1">
      <c r="A13" s="8"/>
      <c r="B13" s="32" t="s">
        <v>46</v>
      </c>
      <c r="C13" s="11"/>
      <c r="D13" s="12"/>
      <c r="E13" s="36">
        <f>'Salary Sheet - Data Field'!G18</f>
        <v>17000</v>
      </c>
      <c r="F13" s="6"/>
      <c r="G13" s="6"/>
      <c r="H13" s="6"/>
      <c r="I13" s="6"/>
      <c r="J13" s="6"/>
      <c r="K13" s="6"/>
      <c r="L13" s="6"/>
      <c r="M13" s="6"/>
      <c r="N13" s="6"/>
      <c r="O13" s="6"/>
      <c r="P13" s="6"/>
      <c r="Q13" s="6"/>
      <c r="R13" s="6"/>
      <c r="S13" s="6"/>
      <c r="T13" s="6"/>
      <c r="U13" s="6"/>
      <c r="V13" s="6"/>
      <c r="W13" s="6"/>
      <c r="X13" s="6"/>
      <c r="Y13" s="6"/>
      <c r="Z13" s="6"/>
    </row>
    <row r="14" ht="14.25" customHeight="1">
      <c r="A14" s="8"/>
      <c r="B14" s="32" t="s">
        <v>48</v>
      </c>
      <c r="C14" s="11"/>
      <c r="D14" s="12"/>
      <c r="E14" s="36">
        <f>'Salary Sheet - Data Field'!I18</f>
        <v>23000</v>
      </c>
      <c r="F14" s="6"/>
      <c r="G14" s="6"/>
      <c r="H14" s="6"/>
      <c r="I14" s="6"/>
      <c r="J14" s="6"/>
      <c r="K14" s="6"/>
      <c r="L14" s="6"/>
      <c r="M14" s="6"/>
      <c r="N14" s="6"/>
      <c r="O14" s="6"/>
      <c r="P14" s="6"/>
      <c r="Q14" s="6"/>
      <c r="R14" s="6"/>
      <c r="S14" s="6"/>
      <c r="T14" s="6"/>
      <c r="U14" s="6"/>
      <c r="V14" s="6"/>
      <c r="W14" s="6"/>
      <c r="X14" s="6"/>
      <c r="Y14" s="6"/>
      <c r="Z14" s="6"/>
    </row>
    <row r="15" ht="14.25" customHeight="1">
      <c r="A15" s="8"/>
      <c r="B15" s="28"/>
      <c r="C15" s="11"/>
      <c r="D15" s="12"/>
      <c r="E15" s="36"/>
      <c r="F15" s="6"/>
      <c r="G15" s="6"/>
      <c r="H15" s="6"/>
      <c r="I15" s="6"/>
      <c r="J15" s="6"/>
      <c r="K15" s="6"/>
      <c r="L15" s="6"/>
      <c r="M15" s="6"/>
      <c r="N15" s="6"/>
      <c r="O15" s="6"/>
      <c r="P15" s="6"/>
      <c r="Q15" s="6"/>
      <c r="R15" s="6"/>
      <c r="S15" s="6"/>
      <c r="T15" s="6"/>
      <c r="U15" s="6"/>
      <c r="V15" s="6"/>
      <c r="W15" s="6"/>
      <c r="X15" s="6"/>
      <c r="Y15" s="6"/>
      <c r="Z15" s="6"/>
    </row>
    <row r="16" ht="14.25" customHeight="1">
      <c r="A16" s="8"/>
      <c r="B16" s="32" t="s">
        <v>63</v>
      </c>
      <c r="C16" s="11"/>
      <c r="D16" s="12"/>
      <c r="E16" s="36">
        <v>0.0</v>
      </c>
      <c r="F16" s="6"/>
      <c r="G16" s="6"/>
      <c r="H16" s="6"/>
      <c r="I16" s="6"/>
      <c r="J16" s="6"/>
      <c r="K16" s="6"/>
      <c r="L16" s="6"/>
      <c r="M16" s="6"/>
      <c r="N16" s="6"/>
      <c r="O16" s="6"/>
      <c r="P16" s="6"/>
      <c r="Q16" s="6"/>
      <c r="R16" s="6"/>
      <c r="S16" s="6"/>
      <c r="T16" s="6"/>
      <c r="U16" s="6"/>
      <c r="V16" s="6"/>
      <c r="W16" s="6"/>
      <c r="X16" s="6"/>
      <c r="Y16" s="6"/>
      <c r="Z16" s="6"/>
    </row>
    <row r="17" ht="14.25" customHeight="1">
      <c r="A17" s="8"/>
      <c r="B17" s="32" t="s">
        <v>52</v>
      </c>
      <c r="C17" s="11"/>
      <c r="D17" s="12"/>
      <c r="E17" s="36">
        <v>0.0</v>
      </c>
      <c r="F17" s="6"/>
      <c r="G17" s="6"/>
      <c r="H17" s="6"/>
      <c r="I17" s="6"/>
      <c r="J17" s="6"/>
      <c r="K17" s="6"/>
      <c r="L17" s="6"/>
      <c r="M17" s="6"/>
      <c r="N17" s="6"/>
      <c r="O17" s="6"/>
      <c r="P17" s="6"/>
      <c r="Q17" s="6"/>
      <c r="R17" s="6"/>
      <c r="S17" s="6"/>
      <c r="T17" s="6"/>
      <c r="U17" s="6"/>
      <c r="V17" s="6"/>
      <c r="W17" s="6"/>
      <c r="X17" s="6"/>
      <c r="Y17" s="6"/>
      <c r="Z17" s="6"/>
    </row>
    <row r="18" ht="14.25" customHeight="1">
      <c r="A18" s="8"/>
      <c r="B18" s="43"/>
      <c r="C18" s="11"/>
      <c r="D18" s="12"/>
      <c r="E18" s="36"/>
      <c r="F18" s="6"/>
      <c r="G18" s="6"/>
      <c r="H18" s="6"/>
      <c r="I18" s="6"/>
      <c r="J18" s="6"/>
      <c r="K18" s="6"/>
      <c r="L18" s="6"/>
      <c r="M18" s="6"/>
      <c r="N18" s="6"/>
      <c r="O18" s="6"/>
      <c r="P18" s="6"/>
      <c r="Q18" s="6"/>
      <c r="R18" s="6"/>
      <c r="S18" s="6"/>
      <c r="T18" s="6"/>
      <c r="U18" s="6"/>
      <c r="V18" s="6"/>
      <c r="W18" s="6"/>
      <c r="X18" s="6"/>
      <c r="Y18" s="6"/>
      <c r="Z18" s="6"/>
    </row>
    <row r="19" ht="14.25" customHeight="1">
      <c r="A19" s="8"/>
      <c r="B19" s="20" t="s">
        <v>54</v>
      </c>
      <c r="C19" s="11"/>
      <c r="D19" s="12"/>
      <c r="E19" s="45">
        <f>SUM(E11:E18)</f>
        <v>90000</v>
      </c>
      <c r="F19" s="6"/>
      <c r="G19" s="6"/>
      <c r="H19" s="6"/>
      <c r="I19" s="6"/>
      <c r="J19" s="6"/>
      <c r="K19" s="6"/>
      <c r="L19" s="6"/>
      <c r="M19" s="6"/>
      <c r="N19" s="6"/>
      <c r="O19" s="6"/>
      <c r="P19" s="6"/>
      <c r="Q19" s="6"/>
      <c r="R19" s="6"/>
      <c r="S19" s="6"/>
      <c r="T19" s="6"/>
      <c r="U19" s="6"/>
      <c r="V19" s="6"/>
      <c r="W19" s="6"/>
      <c r="X19" s="6"/>
      <c r="Y19" s="6"/>
      <c r="Z19" s="6"/>
    </row>
    <row r="20" ht="14.25" customHeight="1">
      <c r="A20" s="8"/>
      <c r="B20" s="43"/>
      <c r="C20" s="11"/>
      <c r="D20" s="12"/>
      <c r="E20" s="36"/>
      <c r="F20" s="6"/>
      <c r="G20" s="6"/>
      <c r="H20" s="6"/>
      <c r="I20" s="6"/>
      <c r="J20" s="6"/>
      <c r="K20" s="6"/>
      <c r="L20" s="6"/>
      <c r="M20" s="6"/>
      <c r="N20" s="6"/>
      <c r="O20" s="6"/>
      <c r="P20" s="6"/>
      <c r="Q20" s="6"/>
      <c r="R20" s="6"/>
      <c r="S20" s="6"/>
      <c r="T20" s="6"/>
      <c r="U20" s="6"/>
      <c r="V20" s="6"/>
      <c r="W20" s="6"/>
      <c r="X20" s="6"/>
      <c r="Y20" s="6"/>
      <c r="Z20" s="6"/>
    </row>
    <row r="21" ht="14.25" customHeight="1">
      <c r="A21" s="8"/>
      <c r="B21" s="20" t="s">
        <v>56</v>
      </c>
      <c r="C21" s="11"/>
      <c r="D21" s="12"/>
      <c r="E21" s="36"/>
      <c r="F21" s="6"/>
      <c r="G21" s="6"/>
      <c r="H21" s="6"/>
      <c r="I21" s="6"/>
      <c r="J21" s="6"/>
      <c r="K21" s="6"/>
      <c r="L21" s="6"/>
      <c r="M21" s="6"/>
      <c r="N21" s="6"/>
      <c r="O21" s="6"/>
      <c r="P21" s="6"/>
      <c r="Q21" s="6"/>
      <c r="R21" s="6"/>
      <c r="S21" s="6"/>
      <c r="T21" s="6"/>
      <c r="U21" s="6"/>
      <c r="V21" s="6"/>
      <c r="W21" s="6"/>
      <c r="X21" s="6"/>
      <c r="Y21" s="6"/>
      <c r="Z21" s="6"/>
    </row>
    <row r="22" ht="14.25" customHeight="1">
      <c r="A22" s="8"/>
      <c r="B22" s="32" t="s">
        <v>58</v>
      </c>
      <c r="C22" s="11"/>
      <c r="D22" s="12"/>
      <c r="E22" s="36">
        <f>'Salary Sheet - Data Field'!K18</f>
        <v>0</v>
      </c>
      <c r="F22" s="6"/>
      <c r="G22" s="6"/>
      <c r="H22" s="6"/>
      <c r="I22" s="6"/>
      <c r="J22" s="6"/>
      <c r="K22" s="6"/>
      <c r="L22" s="6"/>
      <c r="M22" s="6"/>
      <c r="N22" s="6"/>
      <c r="O22" s="6"/>
      <c r="P22" s="6"/>
      <c r="Q22" s="6"/>
      <c r="R22" s="6"/>
      <c r="S22" s="6"/>
      <c r="T22" s="6"/>
      <c r="U22" s="6"/>
      <c r="V22" s="6"/>
      <c r="W22" s="6"/>
      <c r="X22" s="6"/>
      <c r="Y22" s="6"/>
      <c r="Z22" s="6"/>
    </row>
    <row r="23" ht="14.25" customHeight="1">
      <c r="A23" s="8"/>
      <c r="B23" s="32" t="s">
        <v>59</v>
      </c>
      <c r="C23" s="11"/>
      <c r="D23" s="12"/>
      <c r="E23" s="36">
        <f>'Salary Sheet - Data Field'!M18</f>
        <v>25</v>
      </c>
      <c r="F23" s="6"/>
      <c r="G23" s="6"/>
      <c r="H23" s="6"/>
      <c r="I23" s="6"/>
      <c r="J23" s="6"/>
      <c r="K23" s="6"/>
      <c r="L23" s="6"/>
      <c r="M23" s="6"/>
      <c r="N23" s="6"/>
      <c r="O23" s="6"/>
      <c r="P23" s="6"/>
      <c r="Q23" s="6"/>
      <c r="R23" s="6"/>
      <c r="S23" s="6"/>
      <c r="T23" s="6"/>
      <c r="U23" s="6"/>
      <c r="V23" s="6"/>
      <c r="W23" s="6"/>
      <c r="X23" s="6"/>
      <c r="Y23" s="6"/>
      <c r="Z23" s="6"/>
    </row>
    <row r="24" ht="14.25" customHeight="1">
      <c r="A24" s="8"/>
      <c r="B24" s="20" t="s">
        <v>60</v>
      </c>
      <c r="C24" s="11"/>
      <c r="D24" s="12"/>
      <c r="E24" s="45">
        <f>SUM(E22:E23)</f>
        <v>25</v>
      </c>
      <c r="F24" s="6"/>
      <c r="G24" s="6"/>
      <c r="H24" s="6"/>
      <c r="I24" s="6"/>
      <c r="J24" s="6"/>
      <c r="K24" s="6"/>
      <c r="L24" s="6"/>
      <c r="M24" s="6"/>
      <c r="N24" s="6"/>
      <c r="O24" s="6"/>
      <c r="P24" s="6"/>
      <c r="Q24" s="6"/>
      <c r="R24" s="6"/>
      <c r="S24" s="6"/>
      <c r="T24" s="6"/>
      <c r="U24" s="6"/>
      <c r="V24" s="6"/>
      <c r="W24" s="6"/>
      <c r="X24" s="6"/>
      <c r="Y24" s="6"/>
      <c r="Z24" s="6"/>
    </row>
    <row r="25" ht="14.25" customHeight="1">
      <c r="A25" s="8"/>
      <c r="B25" s="43"/>
      <c r="C25" s="11"/>
      <c r="D25" s="12"/>
      <c r="E25" s="36"/>
      <c r="F25" s="6"/>
      <c r="G25" s="6"/>
      <c r="H25" s="6"/>
      <c r="I25" s="6"/>
      <c r="J25" s="6"/>
      <c r="K25" s="6"/>
      <c r="L25" s="6"/>
      <c r="M25" s="6"/>
      <c r="N25" s="6"/>
      <c r="O25" s="6"/>
      <c r="P25" s="6"/>
      <c r="Q25" s="6"/>
      <c r="R25" s="6"/>
      <c r="S25" s="6"/>
      <c r="T25" s="6"/>
      <c r="U25" s="6"/>
      <c r="V25" s="6"/>
      <c r="W25" s="6"/>
      <c r="X25" s="6"/>
      <c r="Y25" s="6"/>
      <c r="Z25" s="6"/>
    </row>
    <row r="26" ht="14.25" customHeight="1">
      <c r="A26" s="8"/>
      <c r="B26" s="20" t="s">
        <v>61</v>
      </c>
      <c r="C26" s="11"/>
      <c r="D26" s="12"/>
      <c r="E26" s="45">
        <f>E19-E24</f>
        <v>89975</v>
      </c>
      <c r="F26" s="6"/>
      <c r="G26" s="6"/>
      <c r="H26" s="6"/>
      <c r="I26" s="6"/>
      <c r="J26" s="6"/>
      <c r="K26" s="6"/>
      <c r="L26" s="6"/>
      <c r="M26" s="6"/>
      <c r="N26" s="6"/>
      <c r="O26" s="6"/>
      <c r="P26" s="6"/>
      <c r="Q26" s="6"/>
      <c r="R26" s="6"/>
      <c r="S26" s="6"/>
      <c r="T26" s="6"/>
      <c r="U26" s="6"/>
      <c r="V26" s="6"/>
      <c r="W26" s="6"/>
      <c r="X26" s="6"/>
      <c r="Y26" s="6"/>
      <c r="Z26" s="6"/>
    </row>
    <row r="27" ht="14.25" customHeight="1">
      <c r="A27" s="8"/>
      <c r="B27" s="43"/>
      <c r="C27" s="11"/>
      <c r="D27" s="12"/>
      <c r="E27" s="36"/>
      <c r="F27" s="6"/>
      <c r="G27" s="6"/>
      <c r="H27" s="6"/>
      <c r="I27" s="6"/>
      <c r="J27" s="6"/>
      <c r="K27" s="6"/>
      <c r="L27" s="6"/>
      <c r="M27" s="6"/>
      <c r="N27" s="6"/>
      <c r="O27" s="6"/>
      <c r="P27" s="6"/>
      <c r="Q27" s="6"/>
      <c r="R27" s="6"/>
      <c r="S27" s="6"/>
      <c r="T27" s="6"/>
      <c r="U27" s="6"/>
      <c r="V27" s="6"/>
      <c r="W27" s="6"/>
      <c r="X27" s="6"/>
      <c r="Y27" s="6"/>
      <c r="Z27" s="6"/>
    </row>
    <row r="28" ht="14.25" customHeight="1">
      <c r="A28" s="8"/>
      <c r="B28" s="32" t="s">
        <v>64</v>
      </c>
      <c r="C28" s="11"/>
      <c r="D28" s="12"/>
      <c r="E28" s="36">
        <f>'Salary Sheet - Data Field'!Q18</f>
        <v>0</v>
      </c>
      <c r="F28" s="6"/>
      <c r="G28" s="6"/>
      <c r="H28" s="6"/>
      <c r="I28" s="6"/>
      <c r="J28" s="6"/>
      <c r="K28" s="6"/>
      <c r="L28" s="6"/>
      <c r="M28" s="6"/>
      <c r="N28" s="6"/>
      <c r="O28" s="6"/>
      <c r="P28" s="6"/>
      <c r="Q28" s="6"/>
      <c r="R28" s="6"/>
      <c r="S28" s="6"/>
      <c r="T28" s="6"/>
      <c r="U28" s="6"/>
      <c r="V28" s="6"/>
      <c r="W28" s="6"/>
      <c r="X28" s="6"/>
      <c r="Y28" s="6"/>
      <c r="Z28" s="6"/>
    </row>
    <row r="29" ht="14.25" customHeight="1">
      <c r="A29" s="8"/>
      <c r="B29" s="43"/>
      <c r="C29" s="11"/>
      <c r="D29" s="12"/>
      <c r="E29" s="36"/>
      <c r="F29" s="6"/>
      <c r="G29" s="6"/>
      <c r="H29" s="6"/>
      <c r="I29" s="6"/>
      <c r="J29" s="6"/>
      <c r="K29" s="6"/>
      <c r="L29" s="6"/>
      <c r="M29" s="6"/>
      <c r="N29" s="6"/>
      <c r="O29" s="6"/>
      <c r="P29" s="6"/>
      <c r="Q29" s="6"/>
      <c r="R29" s="6"/>
      <c r="S29" s="6"/>
      <c r="T29" s="6"/>
      <c r="U29" s="6"/>
      <c r="V29" s="6"/>
      <c r="W29" s="6"/>
      <c r="X29" s="6"/>
      <c r="Y29" s="6"/>
      <c r="Z29" s="6"/>
    </row>
    <row r="30" ht="14.25" customHeight="1">
      <c r="A30" s="8"/>
      <c r="B30" s="32" t="s">
        <v>65</v>
      </c>
      <c r="C30" s="11"/>
      <c r="D30" s="12"/>
      <c r="E30" s="36">
        <f>'Salary Sheet - Data Field'!R18</f>
        <v>0</v>
      </c>
      <c r="F30" s="6"/>
      <c r="G30" s="6"/>
      <c r="H30" s="6"/>
      <c r="I30" s="6"/>
      <c r="J30" s="6"/>
      <c r="K30" s="6"/>
      <c r="L30" s="6"/>
      <c r="M30" s="6"/>
      <c r="N30" s="6"/>
      <c r="O30" s="6"/>
      <c r="P30" s="6"/>
      <c r="Q30" s="6"/>
      <c r="R30" s="6"/>
      <c r="S30" s="6"/>
      <c r="T30" s="6"/>
      <c r="U30" s="6"/>
      <c r="V30" s="6"/>
      <c r="W30" s="6"/>
      <c r="X30" s="6"/>
      <c r="Y30" s="6"/>
      <c r="Z30" s="6"/>
    </row>
    <row r="31" ht="14.25" customHeight="1">
      <c r="A31" s="8"/>
      <c r="B31" s="28"/>
      <c r="C31" s="11"/>
      <c r="D31" s="11"/>
      <c r="E31" s="12"/>
      <c r="F31" s="6"/>
      <c r="G31" s="6"/>
      <c r="H31" s="6"/>
      <c r="I31" s="6"/>
      <c r="J31" s="6"/>
      <c r="K31" s="6"/>
      <c r="L31" s="6"/>
      <c r="M31" s="6"/>
      <c r="N31" s="6"/>
      <c r="O31" s="6"/>
      <c r="P31" s="6"/>
      <c r="Q31" s="6"/>
      <c r="R31" s="6"/>
      <c r="S31" s="6"/>
      <c r="T31" s="6"/>
      <c r="U31" s="6"/>
      <c r="V31" s="6"/>
      <c r="W31" s="6"/>
      <c r="X31" s="6"/>
      <c r="Y31" s="6"/>
      <c r="Z31" s="6"/>
    </row>
    <row r="32" ht="14.25" customHeight="1">
      <c r="A32" s="8"/>
      <c r="B32" s="47" t="str">
        <f>R.P.I.U.Rajapaksha!B32</f>
        <v>2022.06.25</v>
      </c>
      <c r="C32" s="48"/>
      <c r="D32" s="49"/>
      <c r="E32" s="50" t="s">
        <v>67</v>
      </c>
      <c r="F32" s="6"/>
      <c r="G32" s="6"/>
      <c r="H32" s="6"/>
      <c r="I32" s="6"/>
      <c r="J32" s="6"/>
      <c r="K32" s="6"/>
      <c r="L32" s="6"/>
      <c r="M32" s="6"/>
      <c r="N32" s="6"/>
      <c r="O32" s="6"/>
      <c r="P32" s="6"/>
      <c r="Q32" s="6"/>
      <c r="R32" s="6"/>
      <c r="S32" s="6"/>
      <c r="T32" s="6"/>
      <c r="U32" s="6"/>
      <c r="V32" s="6"/>
      <c r="W32" s="6"/>
      <c r="X32" s="6"/>
      <c r="Y32" s="6"/>
      <c r="Z32" s="6"/>
    </row>
    <row r="33" ht="14.25" customHeight="1">
      <c r="A33" s="8"/>
      <c r="B33" s="47" t="s">
        <v>68</v>
      </c>
      <c r="C33" s="51"/>
      <c r="D33" s="52"/>
      <c r="E33" s="47" t="s">
        <v>69</v>
      </c>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0">
    <mergeCell ref="B2:E2"/>
    <mergeCell ref="B3:E3"/>
    <mergeCell ref="B4:E4"/>
    <mergeCell ref="B6:E6"/>
    <mergeCell ref="B7:E7"/>
    <mergeCell ref="B8:E8"/>
    <mergeCell ref="B9:E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31:E31"/>
    <mergeCell ref="C32:D33"/>
    <mergeCell ref="B24:D24"/>
    <mergeCell ref="B25:D25"/>
    <mergeCell ref="B26:D26"/>
    <mergeCell ref="B27:D27"/>
    <mergeCell ref="B28:D28"/>
    <mergeCell ref="B29:D29"/>
    <mergeCell ref="B30:D30"/>
  </mergeCells>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